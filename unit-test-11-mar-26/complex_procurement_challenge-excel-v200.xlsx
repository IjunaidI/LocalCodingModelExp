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armuhammad/Desktop/unit-test-11-mar-26/"/>
    </mc:Choice>
  </mc:AlternateContent>
  <xr:revisionPtr revIDLastSave="0" documentId="13_ncr:1_{DEDC156F-3905-E342-B903-2D3842D955B7}" xr6:coauthVersionLast="47" xr6:coauthVersionMax="47" xr10:uidLastSave="{00000000-0000-0000-0000-000000000000}"/>
  <bookViews>
    <workbookView xWindow="0" yWindow="500" windowWidth="20660" windowHeight="9440" xr2:uid="{AE3FC00B-3A47-F944-8983-BBB7104E6BE8}"/>
  </bookViews>
  <sheets>
    <sheet name="complex_procurement_challenge" sheetId="1" r:id="rId1"/>
    <sheet name="Sheet1" sheetId="2" r:id="rId2"/>
  </sheets>
  <definedNames>
    <definedName name="_xlnm._FilterDatabase" localSheetId="0" hidden="1">complex_procurement_challenge!$A$1:$N$120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0" i="1" l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3" i="1"/>
  <c r="N22" i="1"/>
  <c r="N21" i="1"/>
  <c r="N19" i="1"/>
  <c r="N16" i="1"/>
  <c r="N15" i="1"/>
  <c r="N14" i="1"/>
  <c r="N12" i="1"/>
  <c r="N11" i="1"/>
  <c r="N10" i="1"/>
  <c r="N9" i="1"/>
  <c r="N8" i="1"/>
  <c r="N7" i="1"/>
  <c r="N6" i="1"/>
  <c r="N5" i="1"/>
  <c r="N4" i="1"/>
  <c r="N3" i="1"/>
  <c r="N2" i="1"/>
  <c r="N20" i="1"/>
  <c r="N13" i="1"/>
  <c r="M8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7" i="1"/>
  <c r="M6" i="1"/>
  <c r="M5" i="1"/>
  <c r="M4" i="1"/>
  <c r="M3" i="1"/>
  <c r="M2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N104" i="1" s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N50" i="1" s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N25" i="1" s="1"/>
  <c r="L24" i="1"/>
  <c r="N24" i="1" s="1"/>
  <c r="L23" i="1"/>
  <c r="L22" i="1"/>
  <c r="L21" i="1"/>
  <c r="L20" i="1"/>
  <c r="L19" i="1"/>
  <c r="L18" i="1"/>
  <c r="N18" i="1" s="1"/>
  <c r="L17" i="1"/>
  <c r="N17" i="1" s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<sst xmlns="http://schemas.openxmlformats.org/spreadsheetml/2006/main" count="492" uniqueCount="149">
  <si>
    <t>Order_ID</t>
  </si>
  <si>
    <t>Order_Date</t>
  </si>
  <si>
    <t>Supplier</t>
  </si>
  <si>
    <t>Category</t>
  </si>
  <si>
    <t>Contract_Type</t>
  </si>
  <si>
    <t>Base_Unit_Price</t>
  </si>
  <si>
    <t>Quantity_Ordered</t>
  </si>
  <si>
    <t>Volume_Discount_Rate</t>
  </si>
  <si>
    <t>Standard_Lead_Days</t>
  </si>
  <si>
    <t>Expedite_Charge</t>
  </si>
  <si>
    <t>Contract_Adjustment</t>
  </si>
  <si>
    <t>PO-2026-1001</t>
  </si>
  <si>
    <t>MedTech Alpha</t>
  </si>
  <si>
    <t>Critical Care</t>
  </si>
  <si>
    <t>Hybrid</t>
  </si>
  <si>
    <t>PO-2026-1002</t>
  </si>
  <si>
    <t>MediSource Epsilon</t>
  </si>
  <si>
    <t>Surgical</t>
  </si>
  <si>
    <t>Consignment</t>
  </si>
  <si>
    <t>PO-2026-1003</t>
  </si>
  <si>
    <t>PO-2026-1004</t>
  </si>
  <si>
    <t>Fixed</t>
  </si>
  <si>
    <t>PO-2026-1005</t>
  </si>
  <si>
    <t>PharmaCorp Beta</t>
  </si>
  <si>
    <t>Diagnostic</t>
  </si>
  <si>
    <t>PO-2026-1006</t>
  </si>
  <si>
    <t>BioSupply Gamma</t>
  </si>
  <si>
    <t>General Ward</t>
  </si>
  <si>
    <t>PO-2026-1007</t>
  </si>
  <si>
    <t>PO-2026-1008</t>
  </si>
  <si>
    <t>HealthDist Delta</t>
  </si>
  <si>
    <t>PO-2026-1009</t>
  </si>
  <si>
    <t>PO-2026-1010</t>
  </si>
  <si>
    <t>PO-2026-1011</t>
  </si>
  <si>
    <t>Variable</t>
  </si>
  <si>
    <t>PO-2026-1012</t>
  </si>
  <si>
    <t>PO-2026-1013</t>
  </si>
  <si>
    <t>PO-2026-1014</t>
  </si>
  <si>
    <t>PO-2026-1015</t>
  </si>
  <si>
    <t>PO-2026-1016</t>
  </si>
  <si>
    <t>PO-2026-1017</t>
  </si>
  <si>
    <t>PO-2026-1018</t>
  </si>
  <si>
    <t>PO-2026-1019</t>
  </si>
  <si>
    <t>PO-2026-1020</t>
  </si>
  <si>
    <t>PO-2026-1021</t>
  </si>
  <si>
    <t>PO-2026-1022</t>
  </si>
  <si>
    <t>PO-2026-1023</t>
  </si>
  <si>
    <t>PO-2026-1024</t>
  </si>
  <si>
    <t>PO-2026-1025</t>
  </si>
  <si>
    <t>PO-2026-1026</t>
  </si>
  <si>
    <t>PO-2026-1027</t>
  </si>
  <si>
    <t>PO-2026-1028</t>
  </si>
  <si>
    <t>PO-2026-1029</t>
  </si>
  <si>
    <t>PO-2026-1030</t>
  </si>
  <si>
    <t>PO-2026-1031</t>
  </si>
  <si>
    <t>PO-2026-1032</t>
  </si>
  <si>
    <t>PO-2026-1033</t>
  </si>
  <si>
    <t>PO-2026-1034</t>
  </si>
  <si>
    <t>PO-2026-1035</t>
  </si>
  <si>
    <t>PO-2026-1036</t>
  </si>
  <si>
    <t>Pharmacy</t>
  </si>
  <si>
    <t>PO-2026-1037</t>
  </si>
  <si>
    <t>PO-2026-1038</t>
  </si>
  <si>
    <t>PO-2026-1039</t>
  </si>
  <si>
    <t>PO-2026-1040</t>
  </si>
  <si>
    <t>PO-2026-1041</t>
  </si>
  <si>
    <t>PO-2026-1042</t>
  </si>
  <si>
    <t>PO-2026-1043</t>
  </si>
  <si>
    <t>PO-2026-1044</t>
  </si>
  <si>
    <t>PO-2026-1045</t>
  </si>
  <si>
    <t>PO-2026-1046</t>
  </si>
  <si>
    <t>PO-2026-1047</t>
  </si>
  <si>
    <t>PO-2026-1048</t>
  </si>
  <si>
    <t>PO-2026-1049</t>
  </si>
  <si>
    <t>PO-2026-1050</t>
  </si>
  <si>
    <t>PO-2026-1051</t>
  </si>
  <si>
    <t>PO-2026-1052</t>
  </si>
  <si>
    <t>PO-2026-1053</t>
  </si>
  <si>
    <t>PO-2026-1054</t>
  </si>
  <si>
    <t>PO-2026-1055</t>
  </si>
  <si>
    <t>PO-2026-1056</t>
  </si>
  <si>
    <t>PO-2026-1057</t>
  </si>
  <si>
    <t>PO-2026-1058</t>
  </si>
  <si>
    <t>PO-2026-1059</t>
  </si>
  <si>
    <t>PO-2026-1060</t>
  </si>
  <si>
    <t>PO-2026-1061</t>
  </si>
  <si>
    <t>PO-2026-1062</t>
  </si>
  <si>
    <t>PO-2026-1063</t>
  </si>
  <si>
    <t>PO-2026-1064</t>
  </si>
  <si>
    <t>PO-2026-1065</t>
  </si>
  <si>
    <t>PO-2026-1066</t>
  </si>
  <si>
    <t>PO-2026-1067</t>
  </si>
  <si>
    <t>PO-2026-1068</t>
  </si>
  <si>
    <t>PO-2026-1069</t>
  </si>
  <si>
    <t>PO-2026-1070</t>
  </si>
  <si>
    <t>PO-2026-1071</t>
  </si>
  <si>
    <t>PO-2026-1072</t>
  </si>
  <si>
    <t>PO-2026-1074</t>
  </si>
  <si>
    <t>PO-2026-1075</t>
  </si>
  <si>
    <t>PO-2026-1076</t>
  </si>
  <si>
    <t>PO-2026-1077</t>
  </si>
  <si>
    <t>PO-2026-1078</t>
  </si>
  <si>
    <t>PO-2026-1079</t>
  </si>
  <si>
    <t>PO-2026-1080</t>
  </si>
  <si>
    <t>PO-2026-1081</t>
  </si>
  <si>
    <t>PO-2026-1082</t>
  </si>
  <si>
    <t>PO-2026-1083</t>
  </si>
  <si>
    <t>PO-2026-1084</t>
  </si>
  <si>
    <t>PO-2026-1085</t>
  </si>
  <si>
    <t>PO-2026-1086</t>
  </si>
  <si>
    <t>PO-2026-1087</t>
  </si>
  <si>
    <t>PO-2026-1088</t>
  </si>
  <si>
    <t>PO-2026-1089</t>
  </si>
  <si>
    <t>PO-2026-1090</t>
  </si>
  <si>
    <t>PO-2026-1091</t>
  </si>
  <si>
    <t>PO-2026-1092</t>
  </si>
  <si>
    <t>PO-2026-1093</t>
  </si>
  <si>
    <t>PO-2026-1094</t>
  </si>
  <si>
    <t>PO-2026-1095</t>
  </si>
  <si>
    <t>PO-2026-1096</t>
  </si>
  <si>
    <t>PO-2026-1097</t>
  </si>
  <si>
    <t>PO-2026-1098</t>
  </si>
  <si>
    <t>PO-2026-1099</t>
  </si>
  <si>
    <t>PO-2026-1100</t>
  </si>
  <si>
    <t>PO-2026-1101</t>
  </si>
  <si>
    <t>PO-2026-1102</t>
  </si>
  <si>
    <t>PO-2026-1103</t>
  </si>
  <si>
    <t>PO-2026-1104</t>
  </si>
  <si>
    <t>PO-2026-1105</t>
  </si>
  <si>
    <t>PO-2026-1106</t>
  </si>
  <si>
    <t>PO-2026-1107</t>
  </si>
  <si>
    <t>PO-2026-1108</t>
  </si>
  <si>
    <t>PO-2026-1109</t>
  </si>
  <si>
    <t>PO-2026-1110</t>
  </si>
  <si>
    <t>PO-2026-1111</t>
  </si>
  <si>
    <t>PO-2026-1112</t>
  </si>
  <si>
    <t>PO-2026-1113</t>
  </si>
  <si>
    <t>PO-2026-1114</t>
  </si>
  <si>
    <t>PO-2026-1115</t>
  </si>
  <si>
    <t>PO-2026-1116</t>
  </si>
  <si>
    <t>PO-2026-1117</t>
  </si>
  <si>
    <t>PO-2026-1118</t>
  </si>
  <si>
    <t>PO-2026-1119</t>
  </si>
  <si>
    <t>PO-2026-1120</t>
  </si>
  <si>
    <t>base unit * quantity * volume discount*expedite charge*contract adj</t>
  </si>
  <si>
    <t xml:space="preserve"> </t>
  </si>
  <si>
    <t>TOTAL AMOUNT</t>
  </si>
  <si>
    <t>lead days &lt;= 10</t>
  </si>
  <si>
    <t>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</si>
</sst>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7"/>
      <color rgb="FF000000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3D4D-7CAD-C347-A772-E821AE4BE865}">
  <dimension ref="A1:N122"/>
  <sheetViews>
    <sheetView tabSelected="1" topLeftCell="H114" zoomScale="140" zoomScaleNormal="140" workbookViewId="0">
      <selection activeCell="N123" sqref="N123"/>
    </sheetView>
  </sheetViews>
  <sheetFormatPr baseColWidth="10" defaultRowHeight="16" x14ac:dyDescent="0.2"/>
  <cols>
    <col min="1" max="1" width="16.6640625" customWidth="1"/>
    <col min="12" max="12" width="12.1640625" style="5" bestFit="1" customWidth="1"/>
    <col min="13" max="13" width="19.33203125" style="3" customWidth="1"/>
    <col min="14" max="14" width="13.33203125" bestFit="1" customWidth="1"/>
  </cols>
  <sheetData>
    <row r="1" spans="1:14" s="3" customFormat="1" ht="3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146</v>
      </c>
      <c r="M1" s="3" t="s">
        <v>147</v>
      </c>
      <c r="N1" s="3" t="s">
        <v>148</v>
      </c>
    </row>
    <row r="2" spans="1:14" x14ac:dyDescent="0.2">
      <c r="A2" t="s">
        <v>11</v>
      </c>
      <c r="B2" s="1">
        <v>46023</v>
      </c>
      <c r="C2" t="s">
        <v>12</v>
      </c>
      <c r="D2" t="s">
        <v>13</v>
      </c>
      <c r="E2" t="s">
        <v>14</v>
      </c>
      <c r="F2">
        <v>130</v>
      </c>
      <c r="G2">
        <v>1193</v>
      </c>
      <c r="H2">
        <v>0.12</v>
      </c>
      <c r="I2">
        <v>44</v>
      </c>
      <c r="J2">
        <v>0.14000000000000001</v>
      </c>
      <c r="K2">
        <v>1.06E-2</v>
      </c>
      <c r="L2" s="5">
        <f t="shared" ref="L2:L33" si="0">F2*G2*(1-H2)*(1+J2)*(1+K2)</f>
        <v>157235.50265280003</v>
      </c>
      <c r="M2" s="3" t="b">
        <f>IF(I2&lt;=10, TRUE, FALSE)</f>
        <v>0</v>
      </c>
      <c r="N2" s="5">
        <f>L2</f>
        <v>157235.50265280003</v>
      </c>
    </row>
    <row r="3" spans="1:14" x14ac:dyDescent="0.2">
      <c r="A3" t="s">
        <v>15</v>
      </c>
      <c r="B3" s="1">
        <v>46147</v>
      </c>
      <c r="C3" t="s">
        <v>16</v>
      </c>
      <c r="D3" t="s">
        <v>17</v>
      </c>
      <c r="E3" t="s">
        <v>18</v>
      </c>
      <c r="F3">
        <v>118.02</v>
      </c>
      <c r="G3">
        <v>4877</v>
      </c>
      <c r="H3">
        <v>0.15</v>
      </c>
      <c r="I3">
        <v>34</v>
      </c>
      <c r="J3">
        <v>0.1</v>
      </c>
      <c r="K3">
        <v>-0.02</v>
      </c>
      <c r="L3" s="5">
        <f t="shared" si="0"/>
        <v>527407.19770200003</v>
      </c>
      <c r="M3" s="3" t="b">
        <f t="shared" ref="M3:M8" si="1">IF(I3&lt;=10, TRUE, FALSE)</f>
        <v>0</v>
      </c>
      <c r="N3" s="5">
        <f t="shared" ref="N3:N12" si="2">L3</f>
        <v>527407.19770200003</v>
      </c>
    </row>
    <row r="4" spans="1:14" x14ac:dyDescent="0.2">
      <c r="A4" t="s">
        <v>19</v>
      </c>
      <c r="B4" s="1">
        <v>46071</v>
      </c>
      <c r="C4" t="s">
        <v>12</v>
      </c>
      <c r="D4" t="s">
        <v>13</v>
      </c>
      <c r="E4" t="s">
        <v>18</v>
      </c>
      <c r="F4">
        <v>57.39</v>
      </c>
      <c r="G4">
        <v>2867</v>
      </c>
      <c r="H4">
        <v>0.15</v>
      </c>
      <c r="I4">
        <v>14</v>
      </c>
      <c r="J4">
        <v>0</v>
      </c>
      <c r="K4">
        <v>-0.02</v>
      </c>
      <c r="L4" s="5">
        <f t="shared" si="0"/>
        <v>137059.42929</v>
      </c>
      <c r="M4" s="3" t="b">
        <f t="shared" si="1"/>
        <v>0</v>
      </c>
      <c r="N4" s="5">
        <f t="shared" si="2"/>
        <v>137059.42929</v>
      </c>
    </row>
    <row r="5" spans="1:14" x14ac:dyDescent="0.2">
      <c r="A5" t="s">
        <v>20</v>
      </c>
      <c r="B5" s="1">
        <v>46255</v>
      </c>
      <c r="C5" t="s">
        <v>16</v>
      </c>
      <c r="D5" t="s">
        <v>17</v>
      </c>
      <c r="E5" t="s">
        <v>21</v>
      </c>
      <c r="F5">
        <v>32.450000000000003</v>
      </c>
      <c r="G5">
        <v>1916</v>
      </c>
      <c r="H5">
        <v>0.12</v>
      </c>
      <c r="I5">
        <v>31</v>
      </c>
      <c r="J5">
        <v>0.11</v>
      </c>
      <c r="K5">
        <v>0</v>
      </c>
      <c r="L5" s="5">
        <f t="shared" si="0"/>
        <v>60731.758560000009</v>
      </c>
      <c r="M5" s="3" t="b">
        <f t="shared" si="1"/>
        <v>0</v>
      </c>
      <c r="N5" s="5">
        <f t="shared" si="2"/>
        <v>60731.758560000009</v>
      </c>
    </row>
    <row r="6" spans="1:14" x14ac:dyDescent="0.2">
      <c r="A6" t="s">
        <v>22</v>
      </c>
      <c r="B6" s="1">
        <v>46337</v>
      </c>
      <c r="C6" t="s">
        <v>23</v>
      </c>
      <c r="D6" t="s">
        <v>24</v>
      </c>
      <c r="E6" t="s">
        <v>21</v>
      </c>
      <c r="F6">
        <v>308.47000000000003</v>
      </c>
      <c r="G6">
        <v>1451</v>
      </c>
      <c r="H6">
        <v>0.12</v>
      </c>
      <c r="I6">
        <v>42</v>
      </c>
      <c r="J6">
        <v>0.25</v>
      </c>
      <c r="K6">
        <v>0</v>
      </c>
      <c r="L6" s="5">
        <f t="shared" si="0"/>
        <v>492348.96700000006</v>
      </c>
      <c r="M6" s="3" t="b">
        <f t="shared" si="1"/>
        <v>0</v>
      </c>
      <c r="N6" s="5">
        <f t="shared" si="2"/>
        <v>492348.96700000006</v>
      </c>
    </row>
    <row r="7" spans="1:14" x14ac:dyDescent="0.2">
      <c r="A7" t="s">
        <v>25</v>
      </c>
      <c r="B7" s="1">
        <v>46147</v>
      </c>
      <c r="C7" t="s">
        <v>26</v>
      </c>
      <c r="D7" t="s">
        <v>27</v>
      </c>
      <c r="E7" t="s">
        <v>14</v>
      </c>
      <c r="F7">
        <v>42.43</v>
      </c>
      <c r="G7">
        <v>4696</v>
      </c>
      <c r="H7">
        <v>0.15</v>
      </c>
      <c r="I7">
        <v>36</v>
      </c>
      <c r="J7">
        <v>0.24</v>
      </c>
      <c r="K7">
        <v>-1.11E-2</v>
      </c>
      <c r="L7" s="5">
        <f t="shared" si="0"/>
        <v>207679.72869476801</v>
      </c>
      <c r="M7" s="3" t="b">
        <f t="shared" si="1"/>
        <v>0</v>
      </c>
      <c r="N7" s="5">
        <f t="shared" si="2"/>
        <v>207679.72869476801</v>
      </c>
    </row>
    <row r="8" spans="1:14" x14ac:dyDescent="0.2">
      <c r="A8" t="s">
        <v>28</v>
      </c>
      <c r="B8" s="1">
        <v>46107</v>
      </c>
      <c r="C8" t="s">
        <v>16</v>
      </c>
      <c r="D8" t="s">
        <v>27</v>
      </c>
      <c r="E8" t="s">
        <v>18</v>
      </c>
      <c r="F8">
        <v>187.38</v>
      </c>
      <c r="G8">
        <v>1183</v>
      </c>
      <c r="H8">
        <v>0.12</v>
      </c>
      <c r="I8">
        <v>16</v>
      </c>
      <c r="J8">
        <v>0</v>
      </c>
      <c r="K8">
        <v>-0.02</v>
      </c>
      <c r="L8" s="5">
        <f t="shared" si="0"/>
        <v>191168.67369600001</v>
      </c>
      <c r="M8" s="3" t="b">
        <f t="shared" si="1"/>
        <v>0</v>
      </c>
      <c r="N8" s="5">
        <f t="shared" si="2"/>
        <v>191168.67369600001</v>
      </c>
    </row>
    <row r="9" spans="1:14" x14ac:dyDescent="0.2">
      <c r="A9" t="s">
        <v>29</v>
      </c>
      <c r="B9" s="1">
        <v>46337</v>
      </c>
      <c r="C9" t="s">
        <v>30</v>
      </c>
      <c r="D9" t="s">
        <v>27</v>
      </c>
      <c r="E9" t="s">
        <v>18</v>
      </c>
      <c r="F9">
        <v>269.27</v>
      </c>
      <c r="G9">
        <v>4582</v>
      </c>
      <c r="H9">
        <v>0.15</v>
      </c>
      <c r="I9">
        <v>41</v>
      </c>
      <c r="J9">
        <v>0.21</v>
      </c>
      <c r="K9">
        <v>-0.02</v>
      </c>
      <c r="L9" s="5">
        <f t="shared" si="0"/>
        <v>1243579.1354602</v>
      </c>
      <c r="M9" s="3" t="b">
        <f t="shared" ref="M9:M72" si="3">IF(I9&lt;=10, TRUE, FALSE)</f>
        <v>0</v>
      </c>
      <c r="N9" s="5">
        <f t="shared" si="2"/>
        <v>1243579.1354602</v>
      </c>
    </row>
    <row r="10" spans="1:14" x14ac:dyDescent="0.2">
      <c r="A10" t="s">
        <v>31</v>
      </c>
      <c r="B10" s="1">
        <v>46117</v>
      </c>
      <c r="C10" t="s">
        <v>30</v>
      </c>
      <c r="D10" t="s">
        <v>13</v>
      </c>
      <c r="E10" t="s">
        <v>14</v>
      </c>
      <c r="F10">
        <v>486.23</v>
      </c>
      <c r="G10">
        <v>1513</v>
      </c>
      <c r="H10">
        <v>0.12</v>
      </c>
      <c r="I10">
        <v>39</v>
      </c>
      <c r="J10">
        <v>0</v>
      </c>
      <c r="K10">
        <v>-2.3599999999999999E-2</v>
      </c>
      <c r="L10" s="5">
        <f t="shared" si="0"/>
        <v>632107.75991968007</v>
      </c>
      <c r="M10" s="3" t="b">
        <f t="shared" si="3"/>
        <v>0</v>
      </c>
      <c r="N10" s="5">
        <f t="shared" si="2"/>
        <v>632107.75991968007</v>
      </c>
    </row>
    <row r="11" spans="1:14" x14ac:dyDescent="0.2">
      <c r="A11" t="s">
        <v>32</v>
      </c>
      <c r="B11" s="1">
        <v>46056</v>
      </c>
      <c r="C11" t="s">
        <v>16</v>
      </c>
      <c r="D11" t="s">
        <v>24</v>
      </c>
      <c r="E11" t="s">
        <v>18</v>
      </c>
      <c r="F11">
        <v>19.54</v>
      </c>
      <c r="G11">
        <v>3023</v>
      </c>
      <c r="H11">
        <v>0.15</v>
      </c>
      <c r="I11">
        <v>22</v>
      </c>
      <c r="J11">
        <v>0</v>
      </c>
      <c r="K11">
        <v>-0.02</v>
      </c>
      <c r="L11" s="5">
        <f t="shared" si="0"/>
        <v>49204.826859999994</v>
      </c>
      <c r="M11" s="3" t="b">
        <f t="shared" si="3"/>
        <v>0</v>
      </c>
      <c r="N11" s="5">
        <f t="shared" si="2"/>
        <v>49204.826859999994</v>
      </c>
    </row>
    <row r="12" spans="1:14" x14ac:dyDescent="0.2">
      <c r="A12" t="s">
        <v>33</v>
      </c>
      <c r="B12" s="1">
        <v>46155</v>
      </c>
      <c r="C12" t="s">
        <v>23</v>
      </c>
      <c r="D12" t="s">
        <v>27</v>
      </c>
      <c r="E12" t="s">
        <v>34</v>
      </c>
      <c r="F12">
        <v>139.88</v>
      </c>
      <c r="G12">
        <v>3516</v>
      </c>
      <c r="H12">
        <v>0.15</v>
      </c>
      <c r="I12">
        <v>19</v>
      </c>
      <c r="J12">
        <v>0</v>
      </c>
      <c r="K12">
        <v>4.6399999999999997E-2</v>
      </c>
      <c r="L12" s="5">
        <f t="shared" si="0"/>
        <v>437442.67307519994</v>
      </c>
      <c r="M12" s="3" t="b">
        <f t="shared" si="3"/>
        <v>0</v>
      </c>
      <c r="N12" s="5">
        <f t="shared" si="2"/>
        <v>437442.67307519994</v>
      </c>
    </row>
    <row r="13" spans="1:14" x14ac:dyDescent="0.2">
      <c r="A13" t="s">
        <v>35</v>
      </c>
      <c r="B13" s="1">
        <v>46377</v>
      </c>
      <c r="C13" t="s">
        <v>16</v>
      </c>
      <c r="D13" t="s">
        <v>27</v>
      </c>
      <c r="E13" t="s">
        <v>21</v>
      </c>
      <c r="F13">
        <v>131.47</v>
      </c>
      <c r="G13">
        <v>574</v>
      </c>
      <c r="H13">
        <v>0.08</v>
      </c>
      <c r="I13">
        <v>7</v>
      </c>
      <c r="J13">
        <v>0</v>
      </c>
      <c r="K13">
        <v>0</v>
      </c>
      <c r="L13" s="5">
        <f t="shared" si="0"/>
        <v>69426.677599999995</v>
      </c>
      <c r="M13" s="3" t="b">
        <f t="shared" si="3"/>
        <v>1</v>
      </c>
      <c r="N13">
        <f>L13*(1+0.1)</f>
        <v>76369.345360000007</v>
      </c>
    </row>
    <row r="14" spans="1:14" x14ac:dyDescent="0.2">
      <c r="A14" t="s">
        <v>36</v>
      </c>
      <c r="B14" s="1">
        <v>46138</v>
      </c>
      <c r="C14" t="s">
        <v>26</v>
      </c>
      <c r="D14" t="s">
        <v>13</v>
      </c>
      <c r="E14" t="s">
        <v>34</v>
      </c>
      <c r="F14">
        <v>146.44999999999999</v>
      </c>
      <c r="G14">
        <v>4026</v>
      </c>
      <c r="H14">
        <v>0.15</v>
      </c>
      <c r="I14">
        <v>43</v>
      </c>
      <c r="J14">
        <v>0.1</v>
      </c>
      <c r="K14">
        <v>-2.86E-2</v>
      </c>
      <c r="L14" s="5">
        <f t="shared" si="0"/>
        <v>535516.49999429996</v>
      </c>
      <c r="M14" s="3" t="b">
        <f t="shared" si="3"/>
        <v>0</v>
      </c>
      <c r="N14" s="5">
        <f t="shared" ref="N14:N16" si="4">L14</f>
        <v>535516.49999429996</v>
      </c>
    </row>
    <row r="15" spans="1:14" x14ac:dyDescent="0.2">
      <c r="A15" t="s">
        <v>37</v>
      </c>
      <c r="B15" s="1">
        <v>46227</v>
      </c>
      <c r="C15" t="s">
        <v>12</v>
      </c>
      <c r="D15" t="s">
        <v>13</v>
      </c>
      <c r="E15" t="s">
        <v>18</v>
      </c>
      <c r="F15">
        <v>183.61</v>
      </c>
      <c r="G15">
        <v>3417</v>
      </c>
      <c r="H15">
        <v>0.15</v>
      </c>
      <c r="I15">
        <v>13</v>
      </c>
      <c r="J15">
        <v>7.0000000000000007E-2</v>
      </c>
      <c r="K15">
        <v>-0.02</v>
      </c>
      <c r="L15" s="5">
        <f t="shared" si="0"/>
        <v>559203.76723470003</v>
      </c>
      <c r="M15" s="3" t="b">
        <f t="shared" si="3"/>
        <v>0</v>
      </c>
      <c r="N15" s="5">
        <f t="shared" si="4"/>
        <v>559203.76723470003</v>
      </c>
    </row>
    <row r="16" spans="1:14" x14ac:dyDescent="0.2">
      <c r="A16" t="s">
        <v>38</v>
      </c>
      <c r="B16" s="1">
        <v>46055</v>
      </c>
      <c r="C16" t="s">
        <v>23</v>
      </c>
      <c r="D16" t="s">
        <v>17</v>
      </c>
      <c r="E16" t="s">
        <v>34</v>
      </c>
      <c r="F16">
        <v>272.77999999999997</v>
      </c>
      <c r="G16">
        <v>1198</v>
      </c>
      <c r="H16">
        <v>0.12</v>
      </c>
      <c r="I16">
        <v>35</v>
      </c>
      <c r="J16">
        <v>0</v>
      </c>
      <c r="K16">
        <v>-7.7999999999999996E-3</v>
      </c>
      <c r="L16" s="5">
        <f t="shared" si="0"/>
        <v>285332.49761983997</v>
      </c>
      <c r="M16" s="3" t="b">
        <f t="shared" si="3"/>
        <v>0</v>
      </c>
      <c r="N16" s="5">
        <f t="shared" si="4"/>
        <v>285332.49761983997</v>
      </c>
    </row>
    <row r="17" spans="1:14" x14ac:dyDescent="0.2">
      <c r="A17" t="s">
        <v>39</v>
      </c>
      <c r="B17" s="1">
        <v>46168</v>
      </c>
      <c r="C17" t="s">
        <v>12</v>
      </c>
      <c r="D17" t="s">
        <v>17</v>
      </c>
      <c r="E17" t="s">
        <v>34</v>
      </c>
      <c r="F17">
        <v>209.14</v>
      </c>
      <c r="G17">
        <v>3993</v>
      </c>
      <c r="H17">
        <v>0.15</v>
      </c>
      <c r="I17">
        <v>7</v>
      </c>
      <c r="J17">
        <v>0</v>
      </c>
      <c r="K17">
        <v>-2.86E-2</v>
      </c>
      <c r="L17" s="5">
        <f t="shared" si="0"/>
        <v>689530.43275379983</v>
      </c>
      <c r="M17" s="3" t="b">
        <f t="shared" si="3"/>
        <v>1</v>
      </c>
      <c r="N17">
        <f>L17*(1+0.1)</f>
        <v>758483.47602917987</v>
      </c>
    </row>
    <row r="18" spans="1:14" x14ac:dyDescent="0.2">
      <c r="A18" t="s">
        <v>40</v>
      </c>
      <c r="B18" s="1">
        <v>46251</v>
      </c>
      <c r="C18" t="s">
        <v>23</v>
      </c>
      <c r="D18" t="s">
        <v>17</v>
      </c>
      <c r="E18" t="s">
        <v>14</v>
      </c>
      <c r="F18">
        <v>116.67</v>
      </c>
      <c r="G18">
        <v>529</v>
      </c>
      <c r="H18">
        <v>0.08</v>
      </c>
      <c r="I18">
        <v>10</v>
      </c>
      <c r="J18">
        <v>0</v>
      </c>
      <c r="K18">
        <v>2.5000000000000001E-3</v>
      </c>
      <c r="L18" s="5">
        <f t="shared" si="0"/>
        <v>56922.907988999999</v>
      </c>
      <c r="M18" s="3" t="b">
        <f t="shared" si="3"/>
        <v>1</v>
      </c>
      <c r="N18">
        <f>L18*(1+0.1)</f>
        <v>62615.198787900001</v>
      </c>
    </row>
    <row r="19" spans="1:14" x14ac:dyDescent="0.2">
      <c r="A19" t="s">
        <v>41</v>
      </c>
      <c r="B19" s="1">
        <v>46298</v>
      </c>
      <c r="C19" t="s">
        <v>23</v>
      </c>
      <c r="D19" t="s">
        <v>13</v>
      </c>
      <c r="E19" t="s">
        <v>21</v>
      </c>
      <c r="F19">
        <v>340.85</v>
      </c>
      <c r="G19">
        <v>1976</v>
      </c>
      <c r="H19">
        <v>0.12</v>
      </c>
      <c r="I19">
        <v>45</v>
      </c>
      <c r="J19">
        <v>0.4</v>
      </c>
      <c r="K19">
        <v>0</v>
      </c>
      <c r="L19" s="5">
        <f t="shared" si="0"/>
        <v>829776.14720000012</v>
      </c>
      <c r="M19" s="3" t="b">
        <f t="shared" si="3"/>
        <v>0</v>
      </c>
      <c r="N19" s="5">
        <f>L19</f>
        <v>829776.14720000012</v>
      </c>
    </row>
    <row r="20" spans="1:14" x14ac:dyDescent="0.2">
      <c r="A20" t="s">
        <v>42</v>
      </c>
      <c r="B20" s="1">
        <v>46314</v>
      </c>
      <c r="C20" t="s">
        <v>26</v>
      </c>
      <c r="D20" t="s">
        <v>17</v>
      </c>
      <c r="E20" t="s">
        <v>14</v>
      </c>
      <c r="F20">
        <v>126.96</v>
      </c>
      <c r="G20">
        <v>3292</v>
      </c>
      <c r="H20">
        <v>0.15</v>
      </c>
      <c r="I20">
        <v>7</v>
      </c>
      <c r="J20">
        <v>0</v>
      </c>
      <c r="K20">
        <v>8.6999999999999994E-3</v>
      </c>
      <c r="L20" s="5">
        <f t="shared" si="0"/>
        <v>358350.2294064</v>
      </c>
      <c r="M20" s="3" t="b">
        <f t="shared" si="3"/>
        <v>1</v>
      </c>
      <c r="N20">
        <f>L20*(1+0.1)</f>
        <v>394185.25234704005</v>
      </c>
    </row>
    <row r="21" spans="1:14" x14ac:dyDescent="0.2">
      <c r="A21" t="s">
        <v>43</v>
      </c>
      <c r="B21" s="1">
        <v>46343</v>
      </c>
      <c r="C21" t="s">
        <v>16</v>
      </c>
      <c r="D21" t="s">
        <v>24</v>
      </c>
      <c r="E21" t="s">
        <v>34</v>
      </c>
      <c r="F21">
        <v>467.3</v>
      </c>
      <c r="G21">
        <v>613</v>
      </c>
      <c r="H21">
        <v>0.08</v>
      </c>
      <c r="I21">
        <v>26</v>
      </c>
      <c r="J21">
        <v>0</v>
      </c>
      <c r="K21">
        <v>3.7900000000000003E-2</v>
      </c>
      <c r="L21" s="5">
        <f t="shared" si="0"/>
        <v>273526.61745320004</v>
      </c>
      <c r="M21" s="3" t="b">
        <f t="shared" si="3"/>
        <v>0</v>
      </c>
      <c r="N21" s="5">
        <f t="shared" ref="N21:N23" si="5">L21</f>
        <v>273526.61745320004</v>
      </c>
    </row>
    <row r="22" spans="1:14" x14ac:dyDescent="0.2">
      <c r="A22" t="s">
        <v>44</v>
      </c>
      <c r="B22" s="1">
        <v>46347</v>
      </c>
      <c r="C22" t="s">
        <v>12</v>
      </c>
      <c r="D22" t="s">
        <v>17</v>
      </c>
      <c r="E22" t="s">
        <v>14</v>
      </c>
      <c r="F22">
        <v>66.56</v>
      </c>
      <c r="G22">
        <v>926</v>
      </c>
      <c r="H22">
        <v>0.08</v>
      </c>
      <c r="I22">
        <v>28</v>
      </c>
      <c r="J22">
        <v>0.12</v>
      </c>
      <c r="K22">
        <v>-2.07E-2</v>
      </c>
      <c r="L22" s="5">
        <f t="shared" si="0"/>
        <v>62193.629836083208</v>
      </c>
      <c r="M22" s="3" t="b">
        <f t="shared" si="3"/>
        <v>0</v>
      </c>
      <c r="N22" s="5">
        <f t="shared" si="5"/>
        <v>62193.629836083208</v>
      </c>
    </row>
    <row r="23" spans="1:14" x14ac:dyDescent="0.2">
      <c r="A23" t="s">
        <v>45</v>
      </c>
      <c r="B23" s="1">
        <v>46252</v>
      </c>
      <c r="C23" t="s">
        <v>12</v>
      </c>
      <c r="D23" t="s">
        <v>13</v>
      </c>
      <c r="E23" t="s">
        <v>18</v>
      </c>
      <c r="F23">
        <v>416.38</v>
      </c>
      <c r="G23">
        <v>411</v>
      </c>
      <c r="H23">
        <v>0.05</v>
      </c>
      <c r="I23">
        <v>17</v>
      </c>
      <c r="J23">
        <v>0</v>
      </c>
      <c r="K23">
        <v>-0.02</v>
      </c>
      <c r="L23" s="5">
        <f t="shared" si="0"/>
        <v>159324.05958</v>
      </c>
      <c r="M23" s="3" t="b">
        <f t="shared" si="3"/>
        <v>0</v>
      </c>
      <c r="N23" s="5">
        <f t="shared" si="5"/>
        <v>159324.05958</v>
      </c>
    </row>
    <row r="24" spans="1:14" x14ac:dyDescent="0.2">
      <c r="A24" t="s">
        <v>46</v>
      </c>
      <c r="B24" s="1">
        <v>46134</v>
      </c>
      <c r="C24" t="s">
        <v>12</v>
      </c>
      <c r="D24" t="s">
        <v>17</v>
      </c>
      <c r="E24" t="s">
        <v>21</v>
      </c>
      <c r="F24">
        <v>418.95</v>
      </c>
      <c r="G24">
        <v>4821</v>
      </c>
      <c r="H24">
        <v>0.15</v>
      </c>
      <c r="I24">
        <v>9</v>
      </c>
      <c r="J24">
        <v>0</v>
      </c>
      <c r="K24">
        <v>0</v>
      </c>
      <c r="L24" s="5">
        <f t="shared" si="0"/>
        <v>1716794.2574999998</v>
      </c>
      <c r="M24" s="3" t="b">
        <f t="shared" si="3"/>
        <v>1</v>
      </c>
      <c r="N24">
        <f>L24*(1+0.1)</f>
        <v>1888473.68325</v>
      </c>
    </row>
    <row r="25" spans="1:14" x14ac:dyDescent="0.2">
      <c r="A25" t="s">
        <v>47</v>
      </c>
      <c r="B25" s="1">
        <v>46367</v>
      </c>
      <c r="C25" t="s">
        <v>16</v>
      </c>
      <c r="D25" t="s">
        <v>27</v>
      </c>
      <c r="E25" t="s">
        <v>34</v>
      </c>
      <c r="F25">
        <v>463.62</v>
      </c>
      <c r="G25">
        <v>1989</v>
      </c>
      <c r="H25">
        <v>0.12</v>
      </c>
      <c r="I25">
        <v>8</v>
      </c>
      <c r="J25">
        <v>0</v>
      </c>
      <c r="K25">
        <v>3.6499999999999998E-2</v>
      </c>
      <c r="L25" s="5">
        <f t="shared" si="0"/>
        <v>841102.50098160002</v>
      </c>
      <c r="M25" s="3" t="b">
        <f t="shared" si="3"/>
        <v>1</v>
      </c>
      <c r="N25">
        <f>L25*(1+0.1)</f>
        <v>925212.75107976014</v>
      </c>
    </row>
    <row r="26" spans="1:14" x14ac:dyDescent="0.2">
      <c r="A26" t="s">
        <v>48</v>
      </c>
      <c r="B26" s="1">
        <v>46120</v>
      </c>
      <c r="C26" t="s">
        <v>26</v>
      </c>
      <c r="D26" t="s">
        <v>17</v>
      </c>
      <c r="E26" t="s">
        <v>21</v>
      </c>
      <c r="F26">
        <v>197.45</v>
      </c>
      <c r="G26">
        <v>367</v>
      </c>
      <c r="H26">
        <v>0.05</v>
      </c>
      <c r="I26">
        <v>29</v>
      </c>
      <c r="J26">
        <v>7.0000000000000007E-2</v>
      </c>
      <c r="K26">
        <v>0</v>
      </c>
      <c r="L26" s="5">
        <f t="shared" si="0"/>
        <v>73659.808474999998</v>
      </c>
      <c r="M26" s="3" t="b">
        <f t="shared" si="3"/>
        <v>0</v>
      </c>
      <c r="N26" s="5">
        <f t="shared" ref="N26:N49" si="6">L26</f>
        <v>73659.808474999998</v>
      </c>
    </row>
    <row r="27" spans="1:14" x14ac:dyDescent="0.2">
      <c r="A27" t="s">
        <v>49</v>
      </c>
      <c r="B27" s="1">
        <v>46062</v>
      </c>
      <c r="C27" t="s">
        <v>26</v>
      </c>
      <c r="D27" t="s">
        <v>24</v>
      </c>
      <c r="E27" t="s">
        <v>21</v>
      </c>
      <c r="F27">
        <v>483.78</v>
      </c>
      <c r="G27">
        <v>2336</v>
      </c>
      <c r="H27">
        <v>0.12</v>
      </c>
      <c r="I27">
        <v>28</v>
      </c>
      <c r="J27">
        <v>0.24</v>
      </c>
      <c r="K27">
        <v>0</v>
      </c>
      <c r="L27" s="5">
        <f t="shared" si="0"/>
        <v>1233176.1192959999</v>
      </c>
      <c r="M27" s="3" t="b">
        <f t="shared" si="3"/>
        <v>0</v>
      </c>
      <c r="N27" s="5">
        <f t="shared" si="6"/>
        <v>1233176.1192959999</v>
      </c>
    </row>
    <row r="28" spans="1:14" x14ac:dyDescent="0.2">
      <c r="A28" t="s">
        <v>50</v>
      </c>
      <c r="B28" s="1">
        <v>46045</v>
      </c>
      <c r="C28" t="s">
        <v>12</v>
      </c>
      <c r="D28" t="s">
        <v>13</v>
      </c>
      <c r="E28" t="s">
        <v>18</v>
      </c>
      <c r="F28">
        <v>179.39</v>
      </c>
      <c r="G28">
        <v>2619</v>
      </c>
      <c r="H28">
        <v>0.15</v>
      </c>
      <c r="I28">
        <v>19</v>
      </c>
      <c r="J28">
        <v>0</v>
      </c>
      <c r="K28">
        <v>-0.02</v>
      </c>
      <c r="L28" s="5">
        <f t="shared" si="0"/>
        <v>391362.06752999994</v>
      </c>
      <c r="M28" s="3" t="b">
        <f t="shared" si="3"/>
        <v>0</v>
      </c>
      <c r="N28" s="5">
        <f t="shared" si="6"/>
        <v>391362.06752999994</v>
      </c>
    </row>
    <row r="29" spans="1:14" x14ac:dyDescent="0.2">
      <c r="A29" t="s">
        <v>51</v>
      </c>
      <c r="B29" s="1">
        <v>46340</v>
      </c>
      <c r="C29" t="s">
        <v>26</v>
      </c>
      <c r="D29" t="s">
        <v>27</v>
      </c>
      <c r="E29" t="s">
        <v>21</v>
      </c>
      <c r="F29">
        <v>474.95</v>
      </c>
      <c r="G29">
        <v>2754</v>
      </c>
      <c r="H29">
        <v>0.15</v>
      </c>
      <c r="I29">
        <v>39</v>
      </c>
      <c r="J29">
        <v>0.17</v>
      </c>
      <c r="K29">
        <v>0</v>
      </c>
      <c r="L29" s="5">
        <f t="shared" si="0"/>
        <v>1300818.2323499999</v>
      </c>
      <c r="M29" s="3" t="b">
        <f t="shared" si="3"/>
        <v>0</v>
      </c>
      <c r="N29" s="5">
        <f t="shared" si="6"/>
        <v>1300818.2323499999</v>
      </c>
    </row>
    <row r="30" spans="1:14" x14ac:dyDescent="0.2">
      <c r="A30" t="s">
        <v>52</v>
      </c>
      <c r="B30" s="1">
        <v>46032</v>
      </c>
      <c r="C30" t="s">
        <v>16</v>
      </c>
      <c r="D30" t="s">
        <v>17</v>
      </c>
      <c r="E30" t="s">
        <v>34</v>
      </c>
      <c r="F30">
        <v>216.02</v>
      </c>
      <c r="G30">
        <v>3155</v>
      </c>
      <c r="H30">
        <v>0.15</v>
      </c>
      <c r="I30">
        <v>32</v>
      </c>
      <c r="J30">
        <v>0</v>
      </c>
      <c r="K30">
        <v>1.77E-2</v>
      </c>
      <c r="L30" s="5">
        <f t="shared" si="0"/>
        <v>589565.45093950001</v>
      </c>
      <c r="M30" s="3" t="b">
        <f t="shared" si="3"/>
        <v>0</v>
      </c>
      <c r="N30" s="5">
        <f t="shared" si="6"/>
        <v>589565.45093950001</v>
      </c>
    </row>
    <row r="31" spans="1:14" x14ac:dyDescent="0.2">
      <c r="A31" t="s">
        <v>53</v>
      </c>
      <c r="B31" s="1">
        <v>46287</v>
      </c>
      <c r="C31" t="s">
        <v>30</v>
      </c>
      <c r="D31" t="s">
        <v>27</v>
      </c>
      <c r="E31" t="s">
        <v>18</v>
      </c>
      <c r="F31">
        <v>341.06</v>
      </c>
      <c r="G31">
        <v>4237</v>
      </c>
      <c r="H31">
        <v>0.15</v>
      </c>
      <c r="I31">
        <v>12</v>
      </c>
      <c r="J31">
        <v>0</v>
      </c>
      <c r="K31">
        <v>-0.02</v>
      </c>
      <c r="L31" s="5">
        <f t="shared" si="0"/>
        <v>1203744.32626</v>
      </c>
      <c r="M31" s="3" t="b">
        <f t="shared" si="3"/>
        <v>0</v>
      </c>
      <c r="N31" s="5">
        <f t="shared" si="6"/>
        <v>1203744.32626</v>
      </c>
    </row>
    <row r="32" spans="1:14" x14ac:dyDescent="0.2">
      <c r="A32" t="s">
        <v>54</v>
      </c>
      <c r="B32" s="1">
        <v>46345</v>
      </c>
      <c r="C32" t="s">
        <v>23</v>
      </c>
      <c r="D32" t="s">
        <v>24</v>
      </c>
      <c r="E32" t="s">
        <v>34</v>
      </c>
      <c r="F32">
        <v>405.22</v>
      </c>
      <c r="G32">
        <v>1257</v>
      </c>
      <c r="H32">
        <v>0.12</v>
      </c>
      <c r="I32">
        <v>36</v>
      </c>
      <c r="J32">
        <v>7.0000000000000007E-2</v>
      </c>
      <c r="K32">
        <v>-4.7600000000000003E-2</v>
      </c>
      <c r="L32" s="5">
        <f t="shared" si="0"/>
        <v>456785.16034335369</v>
      </c>
      <c r="M32" s="3" t="b">
        <f t="shared" si="3"/>
        <v>0</v>
      </c>
      <c r="N32" s="5">
        <f t="shared" si="6"/>
        <v>456785.16034335369</v>
      </c>
    </row>
    <row r="33" spans="1:14" x14ac:dyDescent="0.2">
      <c r="A33" t="s">
        <v>55</v>
      </c>
      <c r="B33" s="1">
        <v>46373</v>
      </c>
      <c r="C33" t="s">
        <v>30</v>
      </c>
      <c r="D33" t="s">
        <v>27</v>
      </c>
      <c r="E33" t="s">
        <v>34</v>
      </c>
      <c r="F33">
        <v>82.31</v>
      </c>
      <c r="G33">
        <v>95</v>
      </c>
      <c r="H33">
        <v>0</v>
      </c>
      <c r="I33">
        <v>21</v>
      </c>
      <c r="J33">
        <v>7.0000000000000007E-2</v>
      </c>
      <c r="K33">
        <v>3.9300000000000002E-2</v>
      </c>
      <c r="L33" s="5">
        <f t="shared" si="0"/>
        <v>8695.6271919499995</v>
      </c>
      <c r="M33" s="3" t="b">
        <f t="shared" si="3"/>
        <v>0</v>
      </c>
      <c r="N33" s="5">
        <f t="shared" si="6"/>
        <v>8695.6271919499995</v>
      </c>
    </row>
    <row r="34" spans="1:14" x14ac:dyDescent="0.2">
      <c r="A34" t="s">
        <v>56</v>
      </c>
      <c r="B34" s="1">
        <v>46280</v>
      </c>
      <c r="C34" t="s">
        <v>12</v>
      </c>
      <c r="D34" t="s">
        <v>27</v>
      </c>
      <c r="E34" t="s">
        <v>34</v>
      </c>
      <c r="F34">
        <v>402.69</v>
      </c>
      <c r="G34">
        <v>4401</v>
      </c>
      <c r="H34">
        <v>0.15</v>
      </c>
      <c r="I34">
        <v>39</v>
      </c>
      <c r="J34">
        <v>0.09</v>
      </c>
      <c r="K34">
        <v>4.8800000000000003E-2</v>
      </c>
      <c r="L34" s="5">
        <f t="shared" ref="L34:L65" si="7">F34*G34*(1-H34)*(1+J34)*(1+K34)</f>
        <v>1722107.7286237082</v>
      </c>
      <c r="M34" s="3" t="b">
        <f t="shared" si="3"/>
        <v>0</v>
      </c>
      <c r="N34" s="5">
        <f t="shared" si="6"/>
        <v>1722107.7286237082</v>
      </c>
    </row>
    <row r="35" spans="1:14" x14ac:dyDescent="0.2">
      <c r="A35" t="s">
        <v>57</v>
      </c>
      <c r="B35" s="1">
        <v>46366</v>
      </c>
      <c r="C35" t="s">
        <v>30</v>
      </c>
      <c r="D35" t="s">
        <v>24</v>
      </c>
      <c r="E35" t="s">
        <v>34</v>
      </c>
      <c r="F35">
        <v>421.53</v>
      </c>
      <c r="G35">
        <v>2321</v>
      </c>
      <c r="H35">
        <v>0.12</v>
      </c>
      <c r="I35">
        <v>35</v>
      </c>
      <c r="J35">
        <v>0.28000000000000003</v>
      </c>
      <c r="K35">
        <v>2.6599999999999999E-2</v>
      </c>
      <c r="L35" s="5">
        <f t="shared" si="7"/>
        <v>1131351.4314381313</v>
      </c>
      <c r="M35" s="3" t="b">
        <f t="shared" si="3"/>
        <v>0</v>
      </c>
      <c r="N35" s="5">
        <f t="shared" si="6"/>
        <v>1131351.4314381313</v>
      </c>
    </row>
    <row r="36" spans="1:14" x14ac:dyDescent="0.2">
      <c r="A36" t="s">
        <v>58</v>
      </c>
      <c r="B36" s="1">
        <v>46248</v>
      </c>
      <c r="C36" t="s">
        <v>16</v>
      </c>
      <c r="D36" t="s">
        <v>13</v>
      </c>
      <c r="E36" t="s">
        <v>34</v>
      </c>
      <c r="F36">
        <v>83.91</v>
      </c>
      <c r="G36">
        <v>3187</v>
      </c>
      <c r="H36">
        <v>0.15</v>
      </c>
      <c r="I36">
        <v>28</v>
      </c>
      <c r="J36">
        <v>0</v>
      </c>
      <c r="K36">
        <v>1.9400000000000001E-2</v>
      </c>
      <c r="L36" s="5">
        <f t="shared" si="7"/>
        <v>231717.76959329998</v>
      </c>
      <c r="M36" s="3" t="b">
        <f t="shared" si="3"/>
        <v>0</v>
      </c>
      <c r="N36" s="5">
        <f t="shared" si="6"/>
        <v>231717.76959329998</v>
      </c>
    </row>
    <row r="37" spans="1:14" x14ac:dyDescent="0.2">
      <c r="A37" t="s">
        <v>59</v>
      </c>
      <c r="B37" s="1">
        <v>46380</v>
      </c>
      <c r="C37" t="s">
        <v>30</v>
      </c>
      <c r="D37" t="s">
        <v>60</v>
      </c>
      <c r="E37" t="s">
        <v>21</v>
      </c>
      <c r="F37">
        <v>429.8</v>
      </c>
      <c r="G37">
        <v>4766</v>
      </c>
      <c r="H37">
        <v>0.15</v>
      </c>
      <c r="I37">
        <v>33</v>
      </c>
      <c r="J37">
        <v>0</v>
      </c>
      <c r="K37">
        <v>0</v>
      </c>
      <c r="L37" s="5">
        <f t="shared" si="7"/>
        <v>1741162.78</v>
      </c>
      <c r="M37" s="3" t="b">
        <f t="shared" si="3"/>
        <v>0</v>
      </c>
      <c r="N37" s="5">
        <f t="shared" si="6"/>
        <v>1741162.78</v>
      </c>
    </row>
    <row r="38" spans="1:14" x14ac:dyDescent="0.2">
      <c r="A38" t="s">
        <v>61</v>
      </c>
      <c r="B38" s="1">
        <v>46101</v>
      </c>
      <c r="C38" t="s">
        <v>30</v>
      </c>
      <c r="D38" t="s">
        <v>17</v>
      </c>
      <c r="E38" t="s">
        <v>14</v>
      </c>
      <c r="F38">
        <v>223.56</v>
      </c>
      <c r="G38">
        <v>287</v>
      </c>
      <c r="H38">
        <v>0.05</v>
      </c>
      <c r="I38">
        <v>17</v>
      </c>
      <c r="J38">
        <v>0</v>
      </c>
      <c r="K38">
        <v>1.01E-2</v>
      </c>
      <c r="L38" s="5">
        <f t="shared" si="7"/>
        <v>61569.2657034</v>
      </c>
      <c r="M38" s="3" t="b">
        <f t="shared" si="3"/>
        <v>0</v>
      </c>
      <c r="N38" s="5">
        <f t="shared" si="6"/>
        <v>61569.2657034</v>
      </c>
    </row>
    <row r="39" spans="1:14" x14ac:dyDescent="0.2">
      <c r="A39" t="s">
        <v>62</v>
      </c>
      <c r="B39" s="1">
        <v>46245</v>
      </c>
      <c r="C39" t="s">
        <v>16</v>
      </c>
      <c r="D39" t="s">
        <v>60</v>
      </c>
      <c r="E39" t="s">
        <v>21</v>
      </c>
      <c r="F39">
        <v>51.13</v>
      </c>
      <c r="G39">
        <v>3561</v>
      </c>
      <c r="H39">
        <v>0.15</v>
      </c>
      <c r="I39">
        <v>27</v>
      </c>
      <c r="J39">
        <v>0.11</v>
      </c>
      <c r="K39">
        <v>0</v>
      </c>
      <c r="L39" s="5">
        <f t="shared" si="7"/>
        <v>171786.75295500003</v>
      </c>
      <c r="M39" s="3" t="b">
        <f t="shared" si="3"/>
        <v>0</v>
      </c>
      <c r="N39" s="5">
        <f t="shared" si="6"/>
        <v>171786.75295500003</v>
      </c>
    </row>
    <row r="40" spans="1:14" x14ac:dyDescent="0.2">
      <c r="A40" t="s">
        <v>63</v>
      </c>
      <c r="B40" s="1">
        <v>46078</v>
      </c>
      <c r="C40" t="s">
        <v>26</v>
      </c>
      <c r="D40" t="s">
        <v>27</v>
      </c>
      <c r="E40" t="s">
        <v>14</v>
      </c>
      <c r="F40">
        <v>419.11</v>
      </c>
      <c r="G40">
        <v>3902</v>
      </c>
      <c r="H40">
        <v>0.15</v>
      </c>
      <c r="I40">
        <v>21</v>
      </c>
      <c r="J40">
        <v>0</v>
      </c>
      <c r="K40">
        <v>2.3999999999999998E-3</v>
      </c>
      <c r="L40" s="5">
        <f t="shared" si="7"/>
        <v>1393398.2861287999</v>
      </c>
      <c r="M40" s="3" t="b">
        <f t="shared" si="3"/>
        <v>0</v>
      </c>
      <c r="N40" s="5">
        <f t="shared" si="6"/>
        <v>1393398.2861287999</v>
      </c>
    </row>
    <row r="41" spans="1:14" x14ac:dyDescent="0.2">
      <c r="A41" t="s">
        <v>64</v>
      </c>
      <c r="B41" s="1">
        <v>46167</v>
      </c>
      <c r="C41" t="s">
        <v>23</v>
      </c>
      <c r="D41" t="s">
        <v>17</v>
      </c>
      <c r="E41" t="s">
        <v>21</v>
      </c>
      <c r="F41">
        <v>314.45</v>
      </c>
      <c r="G41">
        <v>2004</v>
      </c>
      <c r="H41">
        <v>0.12</v>
      </c>
      <c r="I41">
        <v>36</v>
      </c>
      <c r="J41">
        <v>0</v>
      </c>
      <c r="K41">
        <v>0</v>
      </c>
      <c r="L41" s="5">
        <f t="shared" si="7"/>
        <v>554538.86399999994</v>
      </c>
      <c r="M41" s="3" t="b">
        <f t="shared" si="3"/>
        <v>0</v>
      </c>
      <c r="N41" s="5">
        <f t="shared" si="6"/>
        <v>554538.86399999994</v>
      </c>
    </row>
    <row r="42" spans="1:14" x14ac:dyDescent="0.2">
      <c r="A42" t="s">
        <v>65</v>
      </c>
      <c r="B42" s="1">
        <v>46318</v>
      </c>
      <c r="C42" t="s">
        <v>23</v>
      </c>
      <c r="D42" t="s">
        <v>24</v>
      </c>
      <c r="E42" t="s">
        <v>21</v>
      </c>
      <c r="F42">
        <v>293.56</v>
      </c>
      <c r="G42">
        <v>2605</v>
      </c>
      <c r="H42">
        <v>0.15</v>
      </c>
      <c r="I42">
        <v>19</v>
      </c>
      <c r="J42">
        <v>0.12</v>
      </c>
      <c r="K42">
        <v>0</v>
      </c>
      <c r="L42" s="5">
        <f t="shared" si="7"/>
        <v>728017.05760000006</v>
      </c>
      <c r="M42" s="3" t="b">
        <f t="shared" si="3"/>
        <v>0</v>
      </c>
      <c r="N42" s="5">
        <f t="shared" si="6"/>
        <v>728017.05760000006</v>
      </c>
    </row>
    <row r="43" spans="1:14" x14ac:dyDescent="0.2">
      <c r="A43" t="s">
        <v>66</v>
      </c>
      <c r="B43" s="1">
        <v>46067</v>
      </c>
      <c r="C43" t="s">
        <v>16</v>
      </c>
      <c r="D43" t="s">
        <v>13</v>
      </c>
      <c r="E43" t="s">
        <v>21</v>
      </c>
      <c r="F43">
        <v>180.13</v>
      </c>
      <c r="G43">
        <v>3559</v>
      </c>
      <c r="H43">
        <v>0.15</v>
      </c>
      <c r="I43">
        <v>33</v>
      </c>
      <c r="J43">
        <v>0</v>
      </c>
      <c r="K43">
        <v>0</v>
      </c>
      <c r="L43" s="5">
        <f t="shared" si="7"/>
        <v>544920.26950000005</v>
      </c>
      <c r="M43" s="3" t="b">
        <f t="shared" si="3"/>
        <v>0</v>
      </c>
      <c r="N43" s="5">
        <f t="shared" si="6"/>
        <v>544920.26950000005</v>
      </c>
    </row>
    <row r="44" spans="1:14" x14ac:dyDescent="0.2">
      <c r="A44" t="s">
        <v>67</v>
      </c>
      <c r="B44" s="1">
        <v>46304</v>
      </c>
      <c r="C44" t="s">
        <v>23</v>
      </c>
      <c r="D44" t="s">
        <v>27</v>
      </c>
      <c r="E44" t="s">
        <v>34</v>
      </c>
      <c r="F44">
        <v>369.56</v>
      </c>
      <c r="G44">
        <v>2262</v>
      </c>
      <c r="H44">
        <v>0.12</v>
      </c>
      <c r="I44">
        <v>34</v>
      </c>
      <c r="J44">
        <v>0</v>
      </c>
      <c r="K44">
        <v>1.1599999999999999E-2</v>
      </c>
      <c r="L44" s="5">
        <f t="shared" si="7"/>
        <v>744164.67730176006</v>
      </c>
      <c r="M44" s="3" t="b">
        <f t="shared" si="3"/>
        <v>0</v>
      </c>
      <c r="N44" s="5">
        <f t="shared" si="6"/>
        <v>744164.67730176006</v>
      </c>
    </row>
    <row r="45" spans="1:14" x14ac:dyDescent="0.2">
      <c r="A45" t="s">
        <v>68</v>
      </c>
      <c r="B45" s="1">
        <v>46124</v>
      </c>
      <c r="C45" t="s">
        <v>26</v>
      </c>
      <c r="D45" t="s">
        <v>27</v>
      </c>
      <c r="E45" t="s">
        <v>34</v>
      </c>
      <c r="F45">
        <v>377.73</v>
      </c>
      <c r="G45">
        <v>4718</v>
      </c>
      <c r="H45">
        <v>0.15</v>
      </c>
      <c r="I45">
        <v>18</v>
      </c>
      <c r="J45">
        <v>0</v>
      </c>
      <c r="K45">
        <v>1.0999999999999999E-2</v>
      </c>
      <c r="L45" s="5">
        <f t="shared" si="7"/>
        <v>1531473.535809</v>
      </c>
      <c r="M45" s="3" t="b">
        <f t="shared" si="3"/>
        <v>0</v>
      </c>
      <c r="N45" s="5">
        <f t="shared" si="6"/>
        <v>1531473.535809</v>
      </c>
    </row>
    <row r="46" spans="1:14" x14ac:dyDescent="0.2">
      <c r="A46" t="s">
        <v>69</v>
      </c>
      <c r="B46" s="1">
        <v>46025</v>
      </c>
      <c r="C46" t="s">
        <v>16</v>
      </c>
      <c r="D46" t="s">
        <v>13</v>
      </c>
      <c r="E46" t="s">
        <v>34</v>
      </c>
      <c r="F46">
        <v>51.95</v>
      </c>
      <c r="G46">
        <v>3379</v>
      </c>
      <c r="H46">
        <v>0.15</v>
      </c>
      <c r="I46">
        <v>38</v>
      </c>
      <c r="J46">
        <v>7.0000000000000007E-2</v>
      </c>
      <c r="K46">
        <v>-1.1000000000000001E-3</v>
      </c>
      <c r="L46" s="5">
        <f t="shared" si="7"/>
        <v>159477.14793242753</v>
      </c>
      <c r="M46" s="3" t="b">
        <f t="shared" si="3"/>
        <v>0</v>
      </c>
      <c r="N46" s="5">
        <f t="shared" si="6"/>
        <v>159477.14793242753</v>
      </c>
    </row>
    <row r="47" spans="1:14" x14ac:dyDescent="0.2">
      <c r="A47" t="s">
        <v>70</v>
      </c>
      <c r="B47" s="1">
        <v>46151</v>
      </c>
      <c r="C47" t="s">
        <v>26</v>
      </c>
      <c r="D47" t="s">
        <v>60</v>
      </c>
      <c r="E47" t="s">
        <v>14</v>
      </c>
      <c r="F47">
        <v>241.9</v>
      </c>
      <c r="G47">
        <v>4399</v>
      </c>
      <c r="H47">
        <v>0.15</v>
      </c>
      <c r="I47">
        <v>36</v>
      </c>
      <c r="J47">
        <v>0.16</v>
      </c>
      <c r="K47">
        <v>2.98E-2</v>
      </c>
      <c r="L47" s="5">
        <f t="shared" si="7"/>
        <v>1080487.2159086799</v>
      </c>
      <c r="M47" s="3" t="b">
        <f t="shared" si="3"/>
        <v>0</v>
      </c>
      <c r="N47" s="5">
        <f t="shared" si="6"/>
        <v>1080487.2159086799</v>
      </c>
    </row>
    <row r="48" spans="1:14" x14ac:dyDescent="0.2">
      <c r="A48" t="s">
        <v>71</v>
      </c>
      <c r="B48" s="1">
        <v>46122</v>
      </c>
      <c r="C48" t="s">
        <v>26</v>
      </c>
      <c r="D48" t="s">
        <v>13</v>
      </c>
      <c r="E48" t="s">
        <v>34</v>
      </c>
      <c r="F48">
        <v>103.86</v>
      </c>
      <c r="G48">
        <v>4016</v>
      </c>
      <c r="H48">
        <v>0.15</v>
      </c>
      <c r="I48">
        <v>25</v>
      </c>
      <c r="J48">
        <v>0.16</v>
      </c>
      <c r="K48">
        <v>-2.24E-2</v>
      </c>
      <c r="L48" s="5">
        <f t="shared" si="7"/>
        <v>402050.059047936</v>
      </c>
      <c r="M48" s="3" t="b">
        <f t="shared" si="3"/>
        <v>0</v>
      </c>
      <c r="N48" s="5">
        <f t="shared" si="6"/>
        <v>402050.059047936</v>
      </c>
    </row>
    <row r="49" spans="1:14" x14ac:dyDescent="0.2">
      <c r="A49" t="s">
        <v>72</v>
      </c>
      <c r="B49" s="1">
        <v>46305</v>
      </c>
      <c r="C49" t="s">
        <v>12</v>
      </c>
      <c r="D49" t="s">
        <v>60</v>
      </c>
      <c r="E49" t="s">
        <v>34</v>
      </c>
      <c r="F49">
        <v>144.41</v>
      </c>
      <c r="G49">
        <v>496</v>
      </c>
      <c r="H49">
        <v>0.05</v>
      </c>
      <c r="I49">
        <v>13</v>
      </c>
      <c r="J49">
        <v>0.1</v>
      </c>
      <c r="K49">
        <v>5.3E-3</v>
      </c>
      <c r="L49" s="5">
        <f t="shared" si="7"/>
        <v>75247.299333360017</v>
      </c>
      <c r="M49" s="3" t="b">
        <f t="shared" si="3"/>
        <v>0</v>
      </c>
      <c r="N49" s="5">
        <f t="shared" si="6"/>
        <v>75247.299333360017</v>
      </c>
    </row>
    <row r="50" spans="1:14" x14ac:dyDescent="0.2">
      <c r="A50" t="s">
        <v>73</v>
      </c>
      <c r="B50" s="1">
        <v>46107</v>
      </c>
      <c r="C50" t="s">
        <v>23</v>
      </c>
      <c r="D50" t="s">
        <v>13</v>
      </c>
      <c r="E50" t="s">
        <v>14</v>
      </c>
      <c r="F50">
        <v>471.12</v>
      </c>
      <c r="G50">
        <v>3963</v>
      </c>
      <c r="H50">
        <v>0.15</v>
      </c>
      <c r="I50">
        <v>10</v>
      </c>
      <c r="J50">
        <v>0</v>
      </c>
      <c r="K50">
        <v>-2.6100000000000002E-2</v>
      </c>
      <c r="L50" s="5">
        <f t="shared" si="7"/>
        <v>1545570.8036964</v>
      </c>
      <c r="M50" s="3" t="b">
        <f t="shared" si="3"/>
        <v>1</v>
      </c>
      <c r="N50">
        <f>L50*(1+0.1)</f>
        <v>1700127.8840660402</v>
      </c>
    </row>
    <row r="51" spans="1:14" x14ac:dyDescent="0.2">
      <c r="A51" t="s">
        <v>74</v>
      </c>
      <c r="B51" s="1">
        <v>46161</v>
      </c>
      <c r="C51" t="s">
        <v>23</v>
      </c>
      <c r="D51" t="s">
        <v>13</v>
      </c>
      <c r="E51" t="s">
        <v>18</v>
      </c>
      <c r="F51">
        <v>307.10000000000002</v>
      </c>
      <c r="G51">
        <v>1898</v>
      </c>
      <c r="H51">
        <v>0.12</v>
      </c>
      <c r="I51">
        <v>44</v>
      </c>
      <c r="J51">
        <v>0.14000000000000001</v>
      </c>
      <c r="K51">
        <v>-0.02</v>
      </c>
      <c r="L51" s="5">
        <f t="shared" si="7"/>
        <v>573046.18250880006</v>
      </c>
      <c r="M51" s="3" t="b">
        <f t="shared" si="3"/>
        <v>0</v>
      </c>
      <c r="N51" s="5">
        <f t="shared" ref="N51:N103" si="8">L51</f>
        <v>573046.18250880006</v>
      </c>
    </row>
    <row r="52" spans="1:14" x14ac:dyDescent="0.2">
      <c r="A52" t="s">
        <v>75</v>
      </c>
      <c r="B52" s="1">
        <v>46311</v>
      </c>
      <c r="C52" t="s">
        <v>23</v>
      </c>
      <c r="D52" t="s">
        <v>17</v>
      </c>
      <c r="E52" t="s">
        <v>14</v>
      </c>
      <c r="F52">
        <v>333.61</v>
      </c>
      <c r="G52">
        <v>1336</v>
      </c>
      <c r="H52">
        <v>0.12</v>
      </c>
      <c r="I52">
        <v>35</v>
      </c>
      <c r="J52">
        <v>0</v>
      </c>
      <c r="K52">
        <v>3.0999999999999999E-3</v>
      </c>
      <c r="L52" s="5">
        <f t="shared" si="7"/>
        <v>393434.48247488006</v>
      </c>
      <c r="M52" s="3" t="b">
        <f t="shared" si="3"/>
        <v>0</v>
      </c>
      <c r="N52" s="5">
        <f t="shared" si="8"/>
        <v>393434.48247488006</v>
      </c>
    </row>
    <row r="53" spans="1:14" x14ac:dyDescent="0.2">
      <c r="A53" t="s">
        <v>76</v>
      </c>
      <c r="B53" s="1">
        <v>46273</v>
      </c>
      <c r="C53" t="s">
        <v>26</v>
      </c>
      <c r="D53" t="s">
        <v>27</v>
      </c>
      <c r="E53" t="s">
        <v>21</v>
      </c>
      <c r="F53">
        <v>346.82</v>
      </c>
      <c r="G53">
        <v>2217</v>
      </c>
      <c r="H53">
        <v>0.12</v>
      </c>
      <c r="I53">
        <v>34</v>
      </c>
      <c r="J53">
        <v>0.24</v>
      </c>
      <c r="K53">
        <v>0</v>
      </c>
      <c r="L53" s="5">
        <f t="shared" si="7"/>
        <v>839023.61452799989</v>
      </c>
      <c r="M53" s="3" t="b">
        <f t="shared" si="3"/>
        <v>0</v>
      </c>
      <c r="N53" s="5">
        <f t="shared" si="8"/>
        <v>839023.61452799989</v>
      </c>
    </row>
    <row r="54" spans="1:14" x14ac:dyDescent="0.2">
      <c r="A54" t="s">
        <v>77</v>
      </c>
      <c r="B54" s="1">
        <v>46366</v>
      </c>
      <c r="C54" t="s">
        <v>23</v>
      </c>
      <c r="D54" t="s">
        <v>13</v>
      </c>
      <c r="E54" t="s">
        <v>21</v>
      </c>
      <c r="F54">
        <v>91.3</v>
      </c>
      <c r="G54">
        <v>2569</v>
      </c>
      <c r="H54">
        <v>0.15</v>
      </c>
      <c r="I54">
        <v>14</v>
      </c>
      <c r="J54">
        <v>0</v>
      </c>
      <c r="K54">
        <v>0</v>
      </c>
      <c r="L54" s="5">
        <f t="shared" si="7"/>
        <v>199367.24499999997</v>
      </c>
      <c r="M54" s="3" t="b">
        <f t="shared" si="3"/>
        <v>0</v>
      </c>
      <c r="N54" s="5">
        <f t="shared" si="8"/>
        <v>199367.24499999997</v>
      </c>
    </row>
    <row r="55" spans="1:14" x14ac:dyDescent="0.2">
      <c r="A55" t="s">
        <v>78</v>
      </c>
      <c r="B55" s="1">
        <v>46047</v>
      </c>
      <c r="C55" t="s">
        <v>30</v>
      </c>
      <c r="D55" t="s">
        <v>13</v>
      </c>
      <c r="E55" t="s">
        <v>21</v>
      </c>
      <c r="F55">
        <v>445.82</v>
      </c>
      <c r="G55">
        <v>2690</v>
      </c>
      <c r="H55">
        <v>0.15</v>
      </c>
      <c r="I55">
        <v>43</v>
      </c>
      <c r="J55">
        <v>0.03</v>
      </c>
      <c r="K55">
        <v>0</v>
      </c>
      <c r="L55" s="5">
        <f t="shared" si="7"/>
        <v>1049948.4529000001</v>
      </c>
      <c r="M55" s="3" t="b">
        <f t="shared" si="3"/>
        <v>0</v>
      </c>
      <c r="N55" s="5">
        <f t="shared" si="8"/>
        <v>1049948.4529000001</v>
      </c>
    </row>
    <row r="56" spans="1:14" x14ac:dyDescent="0.2">
      <c r="A56" t="s">
        <v>79</v>
      </c>
      <c r="B56" s="1">
        <v>46214</v>
      </c>
      <c r="C56" t="s">
        <v>23</v>
      </c>
      <c r="D56" t="s">
        <v>27</v>
      </c>
      <c r="E56" t="s">
        <v>18</v>
      </c>
      <c r="F56">
        <v>458.88</v>
      </c>
      <c r="G56">
        <v>1536</v>
      </c>
      <c r="H56">
        <v>0.12</v>
      </c>
      <c r="I56">
        <v>37</v>
      </c>
      <c r="J56">
        <v>0.12</v>
      </c>
      <c r="K56">
        <v>-0.02</v>
      </c>
      <c r="L56" s="5">
        <f t="shared" si="7"/>
        <v>680796.18883583997</v>
      </c>
      <c r="M56" s="3" t="b">
        <f t="shared" si="3"/>
        <v>0</v>
      </c>
      <c r="N56" s="5">
        <f t="shared" si="8"/>
        <v>680796.18883583997</v>
      </c>
    </row>
    <row r="57" spans="1:14" x14ac:dyDescent="0.2">
      <c r="A57" t="s">
        <v>80</v>
      </c>
      <c r="B57" s="1">
        <v>46078</v>
      </c>
      <c r="C57" t="s">
        <v>26</v>
      </c>
      <c r="D57" t="s">
        <v>27</v>
      </c>
      <c r="E57" t="s">
        <v>18</v>
      </c>
      <c r="F57">
        <v>151.22999999999999</v>
      </c>
      <c r="G57">
        <v>3330</v>
      </c>
      <c r="H57">
        <v>0.15</v>
      </c>
      <c r="I57">
        <v>23</v>
      </c>
      <c r="J57">
        <v>0</v>
      </c>
      <c r="K57">
        <v>-0.02</v>
      </c>
      <c r="L57" s="5">
        <f t="shared" si="7"/>
        <v>419495.38469999994</v>
      </c>
      <c r="M57" s="3" t="b">
        <f t="shared" si="3"/>
        <v>0</v>
      </c>
      <c r="N57" s="5">
        <f t="shared" si="8"/>
        <v>419495.38469999994</v>
      </c>
    </row>
    <row r="58" spans="1:14" x14ac:dyDescent="0.2">
      <c r="A58" t="s">
        <v>81</v>
      </c>
      <c r="B58" s="1">
        <v>46270</v>
      </c>
      <c r="C58" t="s">
        <v>16</v>
      </c>
      <c r="D58" t="s">
        <v>27</v>
      </c>
      <c r="E58" t="s">
        <v>18</v>
      </c>
      <c r="F58">
        <v>36.56</v>
      </c>
      <c r="G58">
        <v>4297</v>
      </c>
      <c r="H58">
        <v>0.15</v>
      </c>
      <c r="I58">
        <v>20</v>
      </c>
      <c r="J58">
        <v>0</v>
      </c>
      <c r="K58">
        <v>-0.02</v>
      </c>
      <c r="L58" s="5">
        <f t="shared" si="7"/>
        <v>130862.90056000001</v>
      </c>
      <c r="M58" s="3" t="b">
        <f t="shared" si="3"/>
        <v>0</v>
      </c>
      <c r="N58" s="5">
        <f t="shared" si="8"/>
        <v>130862.90056000001</v>
      </c>
    </row>
    <row r="59" spans="1:14" x14ac:dyDescent="0.2">
      <c r="A59" t="s">
        <v>82</v>
      </c>
      <c r="B59" s="1">
        <v>46353</v>
      </c>
      <c r="C59" t="s">
        <v>12</v>
      </c>
      <c r="D59" t="s">
        <v>13</v>
      </c>
      <c r="E59" t="s">
        <v>34</v>
      </c>
      <c r="F59">
        <v>357.79</v>
      </c>
      <c r="G59">
        <v>2595</v>
      </c>
      <c r="H59">
        <v>0.15</v>
      </c>
      <c r="I59">
        <v>36</v>
      </c>
      <c r="J59">
        <v>0.26</v>
      </c>
      <c r="K59">
        <v>5.1000000000000004E-3</v>
      </c>
      <c r="L59" s="5">
        <f t="shared" si="7"/>
        <v>999457.43749960512</v>
      </c>
      <c r="M59" s="3" t="b">
        <f t="shared" si="3"/>
        <v>0</v>
      </c>
      <c r="N59" s="5">
        <f t="shared" si="8"/>
        <v>999457.43749960512</v>
      </c>
    </row>
    <row r="60" spans="1:14" x14ac:dyDescent="0.2">
      <c r="A60" t="s">
        <v>83</v>
      </c>
      <c r="B60" s="1">
        <v>46109</v>
      </c>
      <c r="C60" t="s">
        <v>16</v>
      </c>
      <c r="D60" t="s">
        <v>24</v>
      </c>
      <c r="E60" t="s">
        <v>18</v>
      </c>
      <c r="F60">
        <v>419.01</v>
      </c>
      <c r="G60">
        <v>3918</v>
      </c>
      <c r="H60">
        <v>0.15</v>
      </c>
      <c r="I60">
        <v>39</v>
      </c>
      <c r="J60">
        <v>0</v>
      </c>
      <c r="K60">
        <v>-0.02</v>
      </c>
      <c r="L60" s="5">
        <f t="shared" si="7"/>
        <v>1367520.4229399997</v>
      </c>
      <c r="M60" s="3" t="b">
        <f t="shared" si="3"/>
        <v>0</v>
      </c>
      <c r="N60" s="5">
        <f t="shared" si="8"/>
        <v>1367520.4229399997</v>
      </c>
    </row>
    <row r="61" spans="1:14" x14ac:dyDescent="0.2">
      <c r="A61" t="s">
        <v>84</v>
      </c>
      <c r="B61" s="1">
        <v>46252</v>
      </c>
      <c r="C61" t="s">
        <v>26</v>
      </c>
      <c r="D61" t="s">
        <v>60</v>
      </c>
      <c r="E61" t="s">
        <v>14</v>
      </c>
      <c r="F61">
        <v>412.07</v>
      </c>
      <c r="G61">
        <v>2367</v>
      </c>
      <c r="H61">
        <v>0.12</v>
      </c>
      <c r="I61">
        <v>38</v>
      </c>
      <c r="J61">
        <v>0.26</v>
      </c>
      <c r="K61">
        <v>2.0199999999999999E-2</v>
      </c>
      <c r="L61" s="5">
        <f t="shared" si="7"/>
        <v>1103336.0084998943</v>
      </c>
      <c r="M61" s="3" t="b">
        <f t="shared" si="3"/>
        <v>0</v>
      </c>
      <c r="N61" s="5">
        <f t="shared" si="8"/>
        <v>1103336.0084998943</v>
      </c>
    </row>
    <row r="62" spans="1:14" x14ac:dyDescent="0.2">
      <c r="A62" t="s">
        <v>85</v>
      </c>
      <c r="B62" s="1">
        <v>46257</v>
      </c>
      <c r="C62" t="s">
        <v>30</v>
      </c>
      <c r="D62" t="s">
        <v>24</v>
      </c>
      <c r="E62" t="s">
        <v>34</v>
      </c>
      <c r="F62">
        <v>490.58</v>
      </c>
      <c r="G62">
        <v>2006</v>
      </c>
      <c r="H62">
        <v>0.12</v>
      </c>
      <c r="I62">
        <v>27</v>
      </c>
      <c r="J62">
        <v>0</v>
      </c>
      <c r="K62">
        <v>7.1999999999999998E-3</v>
      </c>
      <c r="L62" s="5">
        <f t="shared" si="7"/>
        <v>872246.34204928007</v>
      </c>
      <c r="M62" s="3" t="b">
        <f t="shared" si="3"/>
        <v>0</v>
      </c>
      <c r="N62" s="5">
        <f t="shared" si="8"/>
        <v>872246.34204928007</v>
      </c>
    </row>
    <row r="63" spans="1:14" x14ac:dyDescent="0.2">
      <c r="A63" t="s">
        <v>86</v>
      </c>
      <c r="B63" s="1">
        <v>46046</v>
      </c>
      <c r="C63" t="s">
        <v>30</v>
      </c>
      <c r="D63" t="s">
        <v>13</v>
      </c>
      <c r="E63" t="s">
        <v>34</v>
      </c>
      <c r="F63">
        <v>256.12</v>
      </c>
      <c r="G63">
        <v>4884</v>
      </c>
      <c r="H63">
        <v>0.15</v>
      </c>
      <c r="I63">
        <v>40</v>
      </c>
      <c r="J63">
        <v>0.08</v>
      </c>
      <c r="K63">
        <v>-1.6799999999999999E-2</v>
      </c>
      <c r="L63" s="5">
        <f t="shared" si="7"/>
        <v>1129025.366270208</v>
      </c>
      <c r="M63" s="3" t="b">
        <f t="shared" si="3"/>
        <v>0</v>
      </c>
      <c r="N63" s="5">
        <f t="shared" si="8"/>
        <v>1129025.366270208</v>
      </c>
    </row>
    <row r="64" spans="1:14" x14ac:dyDescent="0.2">
      <c r="A64" t="s">
        <v>87</v>
      </c>
      <c r="B64" s="1">
        <v>46349</v>
      </c>
      <c r="C64" t="s">
        <v>12</v>
      </c>
      <c r="D64" t="s">
        <v>27</v>
      </c>
      <c r="E64" t="s">
        <v>14</v>
      </c>
      <c r="F64">
        <v>175.9</v>
      </c>
      <c r="G64">
        <v>3306</v>
      </c>
      <c r="H64">
        <v>0.15</v>
      </c>
      <c r="I64">
        <v>31</v>
      </c>
      <c r="J64">
        <v>0.08</v>
      </c>
      <c r="K64">
        <v>2.1100000000000001E-2</v>
      </c>
      <c r="L64" s="5">
        <f t="shared" si="7"/>
        <v>545104.34789292002</v>
      </c>
      <c r="M64" s="3" t="b">
        <f t="shared" si="3"/>
        <v>0</v>
      </c>
      <c r="N64" s="5">
        <f t="shared" si="8"/>
        <v>545104.34789292002</v>
      </c>
    </row>
    <row r="65" spans="1:14" x14ac:dyDescent="0.2">
      <c r="A65" t="s">
        <v>88</v>
      </c>
      <c r="B65" s="1">
        <v>46104</v>
      </c>
      <c r="C65" t="s">
        <v>16</v>
      </c>
      <c r="D65" t="s">
        <v>13</v>
      </c>
      <c r="E65" t="s">
        <v>34</v>
      </c>
      <c r="F65">
        <v>319.27</v>
      </c>
      <c r="G65">
        <v>2404</v>
      </c>
      <c r="H65">
        <v>0.12</v>
      </c>
      <c r="I65">
        <v>13</v>
      </c>
      <c r="J65">
        <v>0</v>
      </c>
      <c r="K65">
        <v>4.9700000000000001E-2</v>
      </c>
      <c r="L65" s="5">
        <f t="shared" si="7"/>
        <v>708990.54729888006</v>
      </c>
      <c r="M65" s="3" t="b">
        <f t="shared" si="3"/>
        <v>0</v>
      </c>
      <c r="N65" s="5">
        <f t="shared" si="8"/>
        <v>708990.54729888006</v>
      </c>
    </row>
    <row r="66" spans="1:14" x14ac:dyDescent="0.2">
      <c r="A66" t="s">
        <v>89</v>
      </c>
      <c r="B66" s="1">
        <v>46073</v>
      </c>
      <c r="C66" t="s">
        <v>26</v>
      </c>
      <c r="D66" t="s">
        <v>13</v>
      </c>
      <c r="E66" t="s">
        <v>14</v>
      </c>
      <c r="F66">
        <v>185.65</v>
      </c>
      <c r="G66">
        <v>3578</v>
      </c>
      <c r="H66">
        <v>0.15</v>
      </c>
      <c r="I66">
        <v>17</v>
      </c>
      <c r="J66">
        <v>0.03</v>
      </c>
      <c r="K66">
        <v>1.9E-3</v>
      </c>
      <c r="L66" s="5">
        <f t="shared" ref="L66:L97" si="9">F66*G66*(1-H66)*(1+J66)*(1+K66)</f>
        <v>582660.82149416511</v>
      </c>
      <c r="M66" s="3" t="b">
        <f t="shared" si="3"/>
        <v>0</v>
      </c>
      <c r="N66" s="5">
        <f t="shared" si="8"/>
        <v>582660.82149416511</v>
      </c>
    </row>
    <row r="67" spans="1:14" x14ac:dyDescent="0.2">
      <c r="A67" t="s">
        <v>90</v>
      </c>
      <c r="B67" s="1">
        <v>46271</v>
      </c>
      <c r="C67" t="s">
        <v>30</v>
      </c>
      <c r="D67" t="s">
        <v>60</v>
      </c>
      <c r="E67" t="s">
        <v>34</v>
      </c>
      <c r="F67">
        <v>123.77</v>
      </c>
      <c r="G67">
        <v>2130</v>
      </c>
      <c r="H67">
        <v>0.12</v>
      </c>
      <c r="I67">
        <v>25</v>
      </c>
      <c r="J67">
        <v>0</v>
      </c>
      <c r="K67">
        <v>-4.0000000000000001E-3</v>
      </c>
      <c r="L67" s="5">
        <f t="shared" si="9"/>
        <v>231066.510048</v>
      </c>
      <c r="M67" s="3" t="b">
        <f t="shared" si="3"/>
        <v>0</v>
      </c>
      <c r="N67" s="5">
        <f t="shared" si="8"/>
        <v>231066.510048</v>
      </c>
    </row>
    <row r="68" spans="1:14" x14ac:dyDescent="0.2">
      <c r="A68" t="s">
        <v>91</v>
      </c>
      <c r="B68" s="1">
        <v>46222</v>
      </c>
      <c r="C68" t="s">
        <v>16</v>
      </c>
      <c r="D68" t="s">
        <v>24</v>
      </c>
      <c r="E68" t="s">
        <v>18</v>
      </c>
      <c r="F68">
        <v>348.25</v>
      </c>
      <c r="G68">
        <v>3792</v>
      </c>
      <c r="H68">
        <v>0.15</v>
      </c>
      <c r="I68">
        <v>13</v>
      </c>
      <c r="J68">
        <v>0</v>
      </c>
      <c r="K68">
        <v>-0.02</v>
      </c>
      <c r="L68" s="5">
        <f t="shared" si="9"/>
        <v>1100029.8119999999</v>
      </c>
      <c r="M68" s="3" t="b">
        <f t="shared" si="3"/>
        <v>0</v>
      </c>
      <c r="N68" s="5">
        <f t="shared" si="8"/>
        <v>1100029.8119999999</v>
      </c>
    </row>
    <row r="69" spans="1:14" x14ac:dyDescent="0.2">
      <c r="A69" t="s">
        <v>92</v>
      </c>
      <c r="B69" s="1">
        <v>46181</v>
      </c>
      <c r="C69" t="s">
        <v>12</v>
      </c>
      <c r="D69" t="s">
        <v>27</v>
      </c>
      <c r="E69" t="s">
        <v>14</v>
      </c>
      <c r="F69">
        <v>13.97</v>
      </c>
      <c r="G69">
        <v>451</v>
      </c>
      <c r="H69">
        <v>0.05</v>
      </c>
      <c r="I69">
        <v>21</v>
      </c>
      <c r="J69">
        <v>0</v>
      </c>
      <c r="K69">
        <v>1.47E-2</v>
      </c>
      <c r="L69" s="5">
        <f t="shared" si="9"/>
        <v>6073.4325635499999</v>
      </c>
      <c r="M69" s="3" t="b">
        <f t="shared" si="3"/>
        <v>0</v>
      </c>
      <c r="N69" s="5">
        <f t="shared" si="8"/>
        <v>6073.4325635499999</v>
      </c>
    </row>
    <row r="70" spans="1:14" x14ac:dyDescent="0.2">
      <c r="A70" t="s">
        <v>93</v>
      </c>
      <c r="B70" s="1">
        <v>46209</v>
      </c>
      <c r="C70" t="s">
        <v>23</v>
      </c>
      <c r="D70" t="s">
        <v>13</v>
      </c>
      <c r="E70" t="s">
        <v>21</v>
      </c>
      <c r="F70">
        <v>161.38</v>
      </c>
      <c r="G70">
        <v>3661</v>
      </c>
      <c r="H70">
        <v>0.15</v>
      </c>
      <c r="I70">
        <v>27</v>
      </c>
      <c r="J70">
        <v>0</v>
      </c>
      <c r="K70">
        <v>0</v>
      </c>
      <c r="L70" s="5">
        <f t="shared" si="9"/>
        <v>502190.35299999994</v>
      </c>
      <c r="M70" s="3" t="b">
        <f t="shared" si="3"/>
        <v>0</v>
      </c>
      <c r="N70" s="5">
        <f t="shared" si="8"/>
        <v>502190.35299999994</v>
      </c>
    </row>
    <row r="71" spans="1:14" x14ac:dyDescent="0.2">
      <c r="A71" t="s">
        <v>94</v>
      </c>
      <c r="B71" s="1">
        <v>46237</v>
      </c>
      <c r="C71" t="s">
        <v>16</v>
      </c>
      <c r="D71" t="s">
        <v>60</v>
      </c>
      <c r="E71" t="s">
        <v>14</v>
      </c>
      <c r="F71">
        <v>416.93</v>
      </c>
      <c r="G71">
        <v>2155</v>
      </c>
      <c r="H71">
        <v>0.12</v>
      </c>
      <c r="I71">
        <v>28</v>
      </c>
      <c r="J71">
        <v>0.18</v>
      </c>
      <c r="K71">
        <v>2.6700000000000002E-2</v>
      </c>
      <c r="L71" s="5">
        <f t="shared" si="9"/>
        <v>957896.66599431192</v>
      </c>
      <c r="M71" s="3" t="b">
        <f t="shared" si="3"/>
        <v>0</v>
      </c>
      <c r="N71" s="5">
        <f t="shared" si="8"/>
        <v>957896.66599431192</v>
      </c>
    </row>
    <row r="72" spans="1:14" x14ac:dyDescent="0.2">
      <c r="A72" t="s">
        <v>95</v>
      </c>
      <c r="B72" s="1">
        <v>46230</v>
      </c>
      <c r="C72" t="s">
        <v>30</v>
      </c>
      <c r="D72" t="s">
        <v>60</v>
      </c>
      <c r="E72" t="s">
        <v>14</v>
      </c>
      <c r="F72">
        <v>54.25</v>
      </c>
      <c r="G72">
        <v>3282</v>
      </c>
      <c r="H72">
        <v>0.15</v>
      </c>
      <c r="I72">
        <v>23</v>
      </c>
      <c r="J72">
        <v>0</v>
      </c>
      <c r="K72">
        <v>2.2000000000000001E-3</v>
      </c>
      <c r="L72" s="5">
        <f t="shared" si="9"/>
        <v>151674.17569500001</v>
      </c>
      <c r="M72" s="3" t="b">
        <f t="shared" si="3"/>
        <v>0</v>
      </c>
      <c r="N72" s="5">
        <f t="shared" si="8"/>
        <v>151674.17569500001</v>
      </c>
    </row>
    <row r="73" spans="1:14" x14ac:dyDescent="0.2">
      <c r="A73" t="s">
        <v>96</v>
      </c>
      <c r="B73" s="1">
        <v>46163</v>
      </c>
      <c r="C73" t="s">
        <v>23</v>
      </c>
      <c r="D73" t="s">
        <v>27</v>
      </c>
      <c r="E73" t="s">
        <v>21</v>
      </c>
      <c r="F73">
        <v>313.58</v>
      </c>
      <c r="G73">
        <v>4649</v>
      </c>
      <c r="H73">
        <v>0.15</v>
      </c>
      <c r="I73">
        <v>36</v>
      </c>
      <c r="J73">
        <v>0</v>
      </c>
      <c r="K73">
        <v>0</v>
      </c>
      <c r="L73" s="5">
        <f t="shared" si="9"/>
        <v>1239158.4069999999</v>
      </c>
      <c r="M73" s="3" t="b">
        <f t="shared" ref="M73:M120" si="10">IF(I73&lt;=10, TRUE, FALSE)</f>
        <v>0</v>
      </c>
      <c r="N73" s="5">
        <f t="shared" si="8"/>
        <v>1239158.4069999999</v>
      </c>
    </row>
    <row r="74" spans="1:14" x14ac:dyDescent="0.2">
      <c r="A74" t="s">
        <v>97</v>
      </c>
      <c r="B74" s="1">
        <v>46338</v>
      </c>
      <c r="C74" t="s">
        <v>30</v>
      </c>
      <c r="D74" t="s">
        <v>60</v>
      </c>
      <c r="E74" t="s">
        <v>18</v>
      </c>
      <c r="F74">
        <v>470.14</v>
      </c>
      <c r="G74">
        <v>2341</v>
      </c>
      <c r="H74">
        <v>0.12</v>
      </c>
      <c r="I74">
        <v>30</v>
      </c>
      <c r="J74">
        <v>0.21</v>
      </c>
      <c r="K74">
        <v>-0.02</v>
      </c>
      <c r="L74" s="5">
        <f t="shared" si="9"/>
        <v>1148478.14408096</v>
      </c>
      <c r="M74" s="3" t="b">
        <f t="shared" si="10"/>
        <v>0</v>
      </c>
      <c r="N74" s="5">
        <f t="shared" si="8"/>
        <v>1148478.14408096</v>
      </c>
    </row>
    <row r="75" spans="1:14" x14ac:dyDescent="0.2">
      <c r="A75" t="s">
        <v>98</v>
      </c>
      <c r="B75" s="1">
        <v>46048</v>
      </c>
      <c r="C75" t="s">
        <v>12</v>
      </c>
      <c r="D75" t="s">
        <v>27</v>
      </c>
      <c r="E75" t="s">
        <v>14</v>
      </c>
      <c r="F75">
        <v>103.01</v>
      </c>
      <c r="G75">
        <v>1050</v>
      </c>
      <c r="H75">
        <v>0.12</v>
      </c>
      <c r="I75">
        <v>45</v>
      </c>
      <c r="J75">
        <v>0.41</v>
      </c>
      <c r="K75">
        <v>1.95E-2</v>
      </c>
      <c r="L75" s="5">
        <f t="shared" si="9"/>
        <v>136822.55659380002</v>
      </c>
      <c r="M75" s="3" t="b">
        <f t="shared" si="10"/>
        <v>0</v>
      </c>
      <c r="N75" s="5">
        <f t="shared" si="8"/>
        <v>136822.55659380002</v>
      </c>
    </row>
    <row r="76" spans="1:14" x14ac:dyDescent="0.2">
      <c r="A76" t="s">
        <v>99</v>
      </c>
      <c r="B76" s="1">
        <v>46031</v>
      </c>
      <c r="C76" t="s">
        <v>16</v>
      </c>
      <c r="D76" t="s">
        <v>17</v>
      </c>
      <c r="E76" t="s">
        <v>21</v>
      </c>
      <c r="F76">
        <v>416.61</v>
      </c>
      <c r="G76">
        <v>4590</v>
      </c>
      <c r="H76">
        <v>0.15</v>
      </c>
      <c r="I76">
        <v>16</v>
      </c>
      <c r="J76">
        <v>0</v>
      </c>
      <c r="K76">
        <v>0</v>
      </c>
      <c r="L76" s="5">
        <f t="shared" si="9"/>
        <v>1625403.915</v>
      </c>
      <c r="M76" s="3" t="b">
        <f t="shared" si="10"/>
        <v>0</v>
      </c>
      <c r="N76" s="5">
        <f t="shared" si="8"/>
        <v>1625403.915</v>
      </c>
    </row>
    <row r="77" spans="1:14" x14ac:dyDescent="0.2">
      <c r="A77" t="s">
        <v>100</v>
      </c>
      <c r="B77" s="1">
        <v>46105</v>
      </c>
      <c r="C77" t="s">
        <v>23</v>
      </c>
      <c r="D77" t="s">
        <v>13</v>
      </c>
      <c r="E77" t="s">
        <v>21</v>
      </c>
      <c r="F77">
        <v>74.58</v>
      </c>
      <c r="G77">
        <v>2984</v>
      </c>
      <c r="H77">
        <v>0.15</v>
      </c>
      <c r="I77">
        <v>23</v>
      </c>
      <c r="J77">
        <v>0.17</v>
      </c>
      <c r="K77">
        <v>0</v>
      </c>
      <c r="L77" s="5">
        <f t="shared" si="9"/>
        <v>221322.71303999997</v>
      </c>
      <c r="M77" s="3" t="b">
        <f t="shared" si="10"/>
        <v>0</v>
      </c>
      <c r="N77" s="5">
        <f t="shared" si="8"/>
        <v>221322.71303999997</v>
      </c>
    </row>
    <row r="78" spans="1:14" x14ac:dyDescent="0.2">
      <c r="A78" t="s">
        <v>101</v>
      </c>
      <c r="B78" s="1">
        <v>46255</v>
      </c>
      <c r="C78" t="s">
        <v>30</v>
      </c>
      <c r="D78" t="s">
        <v>27</v>
      </c>
      <c r="E78" t="s">
        <v>14</v>
      </c>
      <c r="F78">
        <v>261.49</v>
      </c>
      <c r="G78">
        <v>943</v>
      </c>
      <c r="H78">
        <v>0.08</v>
      </c>
      <c r="I78">
        <v>40</v>
      </c>
      <c r="J78">
        <v>0.18</v>
      </c>
      <c r="K78">
        <v>-1.67E-2</v>
      </c>
      <c r="L78" s="5">
        <f t="shared" si="9"/>
        <v>263222.28303373355</v>
      </c>
      <c r="M78" s="3" t="b">
        <f t="shared" si="10"/>
        <v>0</v>
      </c>
      <c r="N78" s="5">
        <f t="shared" si="8"/>
        <v>263222.28303373355</v>
      </c>
    </row>
    <row r="79" spans="1:14" x14ac:dyDescent="0.2">
      <c r="A79" t="s">
        <v>102</v>
      </c>
      <c r="B79" s="1">
        <v>46316</v>
      </c>
      <c r="C79" t="s">
        <v>30</v>
      </c>
      <c r="D79" t="s">
        <v>27</v>
      </c>
      <c r="E79" t="s">
        <v>21</v>
      </c>
      <c r="F79">
        <v>250.23</v>
      </c>
      <c r="G79">
        <v>3683</v>
      </c>
      <c r="H79">
        <v>0.15</v>
      </c>
      <c r="I79">
        <v>15</v>
      </c>
      <c r="J79">
        <v>0</v>
      </c>
      <c r="K79">
        <v>0</v>
      </c>
      <c r="L79" s="5">
        <f t="shared" si="9"/>
        <v>783357.52649999992</v>
      </c>
      <c r="M79" s="3" t="b">
        <f t="shared" si="10"/>
        <v>0</v>
      </c>
      <c r="N79" s="5">
        <f t="shared" si="8"/>
        <v>783357.52649999992</v>
      </c>
    </row>
    <row r="80" spans="1:14" x14ac:dyDescent="0.2">
      <c r="A80" t="s">
        <v>103</v>
      </c>
      <c r="B80" s="1">
        <v>46126</v>
      </c>
      <c r="C80" t="s">
        <v>30</v>
      </c>
      <c r="D80" t="s">
        <v>60</v>
      </c>
      <c r="E80" t="s">
        <v>14</v>
      </c>
      <c r="F80">
        <v>232.32</v>
      </c>
      <c r="G80">
        <v>3574</v>
      </c>
      <c r="H80">
        <v>0.15</v>
      </c>
      <c r="I80">
        <v>42</v>
      </c>
      <c r="J80">
        <v>0</v>
      </c>
      <c r="K80">
        <v>1.21E-2</v>
      </c>
      <c r="L80" s="5">
        <f t="shared" si="9"/>
        <v>714304.68362879998</v>
      </c>
      <c r="M80" s="3" t="b">
        <f t="shared" si="10"/>
        <v>0</v>
      </c>
      <c r="N80" s="5">
        <f t="shared" si="8"/>
        <v>714304.68362879998</v>
      </c>
    </row>
    <row r="81" spans="1:14" x14ac:dyDescent="0.2">
      <c r="A81" t="s">
        <v>104</v>
      </c>
      <c r="B81" s="1">
        <v>46080</v>
      </c>
      <c r="C81" t="s">
        <v>26</v>
      </c>
      <c r="D81" t="s">
        <v>27</v>
      </c>
      <c r="E81" t="s">
        <v>18</v>
      </c>
      <c r="F81">
        <v>213.83</v>
      </c>
      <c r="G81">
        <v>828</v>
      </c>
      <c r="H81">
        <v>0.08</v>
      </c>
      <c r="I81">
        <v>37</v>
      </c>
      <c r="J81">
        <v>0.3</v>
      </c>
      <c r="K81">
        <v>-0.02</v>
      </c>
      <c r="L81" s="5">
        <f t="shared" si="9"/>
        <v>207518.21737920004</v>
      </c>
      <c r="M81" s="3" t="b">
        <f t="shared" si="10"/>
        <v>0</v>
      </c>
      <c r="N81" s="5">
        <f t="shared" si="8"/>
        <v>207518.21737920004</v>
      </c>
    </row>
    <row r="82" spans="1:14" x14ac:dyDescent="0.2">
      <c r="A82" t="s">
        <v>105</v>
      </c>
      <c r="B82" s="1">
        <v>46032</v>
      </c>
      <c r="C82" t="s">
        <v>26</v>
      </c>
      <c r="D82" t="s">
        <v>17</v>
      </c>
      <c r="E82" t="s">
        <v>21</v>
      </c>
      <c r="F82">
        <v>297.37</v>
      </c>
      <c r="G82">
        <v>4650</v>
      </c>
      <c r="H82">
        <v>0.15</v>
      </c>
      <c r="I82">
        <v>34</v>
      </c>
      <c r="J82">
        <v>0</v>
      </c>
      <c r="K82">
        <v>0</v>
      </c>
      <c r="L82" s="5">
        <f t="shared" si="9"/>
        <v>1175354.925</v>
      </c>
      <c r="M82" s="3" t="b">
        <f t="shared" si="10"/>
        <v>0</v>
      </c>
      <c r="N82" s="5">
        <f t="shared" si="8"/>
        <v>1175354.925</v>
      </c>
    </row>
    <row r="83" spans="1:14" x14ac:dyDescent="0.2">
      <c r="A83" t="s">
        <v>106</v>
      </c>
      <c r="B83" s="1">
        <v>46303</v>
      </c>
      <c r="C83" t="s">
        <v>16</v>
      </c>
      <c r="D83" t="s">
        <v>60</v>
      </c>
      <c r="E83" t="s">
        <v>34</v>
      </c>
      <c r="F83">
        <v>85.82</v>
      </c>
      <c r="G83">
        <v>4000</v>
      </c>
      <c r="H83">
        <v>0.15</v>
      </c>
      <c r="I83">
        <v>14</v>
      </c>
      <c r="J83">
        <v>0</v>
      </c>
      <c r="K83">
        <v>-2.76E-2</v>
      </c>
      <c r="L83" s="5">
        <f t="shared" si="9"/>
        <v>283734.65120000002</v>
      </c>
      <c r="M83" s="3" t="b">
        <f t="shared" si="10"/>
        <v>0</v>
      </c>
      <c r="N83" s="5">
        <f t="shared" si="8"/>
        <v>283734.65120000002</v>
      </c>
    </row>
    <row r="84" spans="1:14" x14ac:dyDescent="0.2">
      <c r="A84" t="s">
        <v>107</v>
      </c>
      <c r="B84" s="1">
        <v>46206</v>
      </c>
      <c r="C84" t="s">
        <v>16</v>
      </c>
      <c r="D84" t="s">
        <v>24</v>
      </c>
      <c r="E84" t="s">
        <v>21</v>
      </c>
      <c r="F84">
        <v>98.4</v>
      </c>
      <c r="G84">
        <v>2581</v>
      </c>
      <c r="H84">
        <v>0.15</v>
      </c>
      <c r="I84">
        <v>43</v>
      </c>
      <c r="J84">
        <v>0</v>
      </c>
      <c r="K84">
        <v>0</v>
      </c>
      <c r="L84" s="5">
        <f t="shared" si="9"/>
        <v>215874.84000000003</v>
      </c>
      <c r="M84" s="3" t="b">
        <f t="shared" si="10"/>
        <v>0</v>
      </c>
      <c r="N84" s="5">
        <f t="shared" si="8"/>
        <v>215874.84000000003</v>
      </c>
    </row>
    <row r="85" spans="1:14" x14ac:dyDescent="0.2">
      <c r="A85" t="s">
        <v>108</v>
      </c>
      <c r="B85" s="1">
        <v>46027</v>
      </c>
      <c r="C85" t="s">
        <v>12</v>
      </c>
      <c r="D85" t="s">
        <v>60</v>
      </c>
      <c r="E85" t="s">
        <v>34</v>
      </c>
      <c r="F85">
        <v>194.34</v>
      </c>
      <c r="G85">
        <v>3766</v>
      </c>
      <c r="H85">
        <v>0.15</v>
      </c>
      <c r="I85">
        <v>45</v>
      </c>
      <c r="J85">
        <v>0.37</v>
      </c>
      <c r="K85">
        <v>-1.5900000000000001E-2</v>
      </c>
      <c r="L85" s="5">
        <f t="shared" si="9"/>
        <v>838728.18743695808</v>
      </c>
      <c r="M85" s="3" t="b">
        <f t="shared" si="10"/>
        <v>0</v>
      </c>
      <c r="N85" s="5">
        <f t="shared" si="8"/>
        <v>838728.18743695808</v>
      </c>
    </row>
    <row r="86" spans="1:14" x14ac:dyDescent="0.2">
      <c r="A86" t="s">
        <v>109</v>
      </c>
      <c r="B86" s="1">
        <v>46207</v>
      </c>
      <c r="C86" t="s">
        <v>12</v>
      </c>
      <c r="D86" t="s">
        <v>24</v>
      </c>
      <c r="E86" t="s">
        <v>18</v>
      </c>
      <c r="F86">
        <v>334.35</v>
      </c>
      <c r="G86">
        <v>4028</v>
      </c>
      <c r="H86">
        <v>0.15</v>
      </c>
      <c r="I86">
        <v>14</v>
      </c>
      <c r="J86">
        <v>0</v>
      </c>
      <c r="K86">
        <v>-0.02</v>
      </c>
      <c r="L86" s="5">
        <f t="shared" si="9"/>
        <v>1121852.5793999999</v>
      </c>
      <c r="M86" s="3" t="b">
        <f t="shared" si="10"/>
        <v>0</v>
      </c>
      <c r="N86" s="5">
        <f t="shared" si="8"/>
        <v>1121852.5793999999</v>
      </c>
    </row>
    <row r="87" spans="1:14" x14ac:dyDescent="0.2">
      <c r="A87" t="s">
        <v>110</v>
      </c>
      <c r="B87" s="1">
        <v>46177</v>
      </c>
      <c r="C87" t="s">
        <v>16</v>
      </c>
      <c r="D87" t="s">
        <v>24</v>
      </c>
      <c r="E87" t="s">
        <v>21</v>
      </c>
      <c r="F87">
        <v>118.05</v>
      </c>
      <c r="G87">
        <v>4959</v>
      </c>
      <c r="H87">
        <v>0.15</v>
      </c>
      <c r="I87">
        <v>23</v>
      </c>
      <c r="J87">
        <v>0.02</v>
      </c>
      <c r="K87">
        <v>0</v>
      </c>
      <c r="L87" s="5">
        <f t="shared" si="9"/>
        <v>507550.42664999998</v>
      </c>
      <c r="M87" s="3" t="b">
        <f t="shared" si="10"/>
        <v>0</v>
      </c>
      <c r="N87" s="5">
        <f t="shared" si="8"/>
        <v>507550.42664999998</v>
      </c>
    </row>
    <row r="88" spans="1:14" x14ac:dyDescent="0.2">
      <c r="A88" t="s">
        <v>111</v>
      </c>
      <c r="B88" s="1">
        <v>46036</v>
      </c>
      <c r="C88" t="s">
        <v>23</v>
      </c>
      <c r="D88" t="s">
        <v>17</v>
      </c>
      <c r="E88" t="s">
        <v>18</v>
      </c>
      <c r="F88">
        <v>270.97000000000003</v>
      </c>
      <c r="G88">
        <v>1935</v>
      </c>
      <c r="H88">
        <v>0.12</v>
      </c>
      <c r="I88">
        <v>32</v>
      </c>
      <c r="J88">
        <v>0</v>
      </c>
      <c r="K88">
        <v>-0.02</v>
      </c>
      <c r="L88" s="5">
        <f t="shared" si="9"/>
        <v>452179.56168000004</v>
      </c>
      <c r="M88" s="3" t="b">
        <f t="shared" si="10"/>
        <v>0</v>
      </c>
      <c r="N88" s="5">
        <f t="shared" si="8"/>
        <v>452179.56168000004</v>
      </c>
    </row>
    <row r="89" spans="1:14" x14ac:dyDescent="0.2">
      <c r="A89" t="s">
        <v>112</v>
      </c>
      <c r="B89" s="1">
        <v>46176</v>
      </c>
      <c r="C89" t="s">
        <v>26</v>
      </c>
      <c r="D89" t="s">
        <v>60</v>
      </c>
      <c r="E89" t="s">
        <v>18</v>
      </c>
      <c r="F89">
        <v>290.97000000000003</v>
      </c>
      <c r="G89">
        <v>3471</v>
      </c>
      <c r="H89">
        <v>0.15</v>
      </c>
      <c r="I89">
        <v>36</v>
      </c>
      <c r="J89">
        <v>0</v>
      </c>
      <c r="K89">
        <v>-0.02</v>
      </c>
      <c r="L89" s="5">
        <f t="shared" si="9"/>
        <v>841294.07271000009</v>
      </c>
      <c r="M89" s="3" t="b">
        <f t="shared" si="10"/>
        <v>0</v>
      </c>
      <c r="N89" s="5">
        <f t="shared" si="8"/>
        <v>841294.07271000009</v>
      </c>
    </row>
    <row r="90" spans="1:14" x14ac:dyDescent="0.2">
      <c r="A90" t="s">
        <v>113</v>
      </c>
      <c r="B90" s="1">
        <v>46330</v>
      </c>
      <c r="C90" t="s">
        <v>30</v>
      </c>
      <c r="D90" t="s">
        <v>60</v>
      </c>
      <c r="E90" t="s">
        <v>18</v>
      </c>
      <c r="F90">
        <v>266.74</v>
      </c>
      <c r="G90">
        <v>3292</v>
      </c>
      <c r="H90">
        <v>0.15</v>
      </c>
      <c r="I90">
        <v>11</v>
      </c>
      <c r="J90">
        <v>0</v>
      </c>
      <c r="K90">
        <v>-0.02</v>
      </c>
      <c r="L90" s="5">
        <f t="shared" si="9"/>
        <v>731464.03064000001</v>
      </c>
      <c r="M90" s="3" t="b">
        <f t="shared" si="10"/>
        <v>0</v>
      </c>
      <c r="N90" s="5">
        <f t="shared" si="8"/>
        <v>731464.03064000001</v>
      </c>
    </row>
    <row r="91" spans="1:14" x14ac:dyDescent="0.2">
      <c r="A91" t="s">
        <v>114</v>
      </c>
      <c r="B91" s="1">
        <v>46342</v>
      </c>
      <c r="C91" t="s">
        <v>26</v>
      </c>
      <c r="D91" t="s">
        <v>17</v>
      </c>
      <c r="E91" t="s">
        <v>34</v>
      </c>
      <c r="F91">
        <v>60.37</v>
      </c>
      <c r="G91">
        <v>2146</v>
      </c>
      <c r="H91">
        <v>0.12</v>
      </c>
      <c r="I91">
        <v>11</v>
      </c>
      <c r="J91">
        <v>0</v>
      </c>
      <c r="K91">
        <v>-3.0300000000000001E-2</v>
      </c>
      <c r="L91" s="5">
        <f t="shared" si="9"/>
        <v>110553.10921071999</v>
      </c>
      <c r="M91" s="3" t="b">
        <f t="shared" si="10"/>
        <v>0</v>
      </c>
      <c r="N91" s="5">
        <f t="shared" si="8"/>
        <v>110553.10921071999</v>
      </c>
    </row>
    <row r="92" spans="1:14" x14ac:dyDescent="0.2">
      <c r="A92" t="s">
        <v>115</v>
      </c>
      <c r="B92" s="1">
        <v>46034</v>
      </c>
      <c r="C92" t="s">
        <v>16</v>
      </c>
      <c r="D92" t="s">
        <v>60</v>
      </c>
      <c r="E92" t="s">
        <v>14</v>
      </c>
      <c r="F92">
        <v>433.48</v>
      </c>
      <c r="G92">
        <v>2639</v>
      </c>
      <c r="H92">
        <v>0.15</v>
      </c>
      <c r="I92">
        <v>24</v>
      </c>
      <c r="J92">
        <v>0</v>
      </c>
      <c r="K92">
        <v>-2.5899999999999999E-2</v>
      </c>
      <c r="L92" s="5">
        <f t="shared" si="9"/>
        <v>947176.52085419989</v>
      </c>
      <c r="M92" s="3" t="b">
        <f t="shared" si="10"/>
        <v>0</v>
      </c>
      <c r="N92" s="5">
        <f t="shared" si="8"/>
        <v>947176.52085419989</v>
      </c>
    </row>
    <row r="93" spans="1:14" x14ac:dyDescent="0.2">
      <c r="A93" t="s">
        <v>116</v>
      </c>
      <c r="B93" s="1">
        <v>46218</v>
      </c>
      <c r="C93" t="s">
        <v>30</v>
      </c>
      <c r="D93" t="s">
        <v>13</v>
      </c>
      <c r="E93" t="s">
        <v>21</v>
      </c>
      <c r="F93">
        <v>190.68</v>
      </c>
      <c r="G93">
        <v>2401</v>
      </c>
      <c r="H93">
        <v>0.12</v>
      </c>
      <c r="I93">
        <v>45</v>
      </c>
      <c r="J93">
        <v>0.1</v>
      </c>
      <c r="K93">
        <v>0</v>
      </c>
      <c r="L93" s="5">
        <f t="shared" si="9"/>
        <v>443172.35424000002</v>
      </c>
      <c r="M93" s="3" t="b">
        <f t="shared" si="10"/>
        <v>0</v>
      </c>
      <c r="N93" s="5">
        <f t="shared" si="8"/>
        <v>443172.35424000002</v>
      </c>
    </row>
    <row r="94" spans="1:14" x14ac:dyDescent="0.2">
      <c r="A94" t="s">
        <v>117</v>
      </c>
      <c r="B94" s="1">
        <v>46332</v>
      </c>
      <c r="C94" t="s">
        <v>30</v>
      </c>
      <c r="D94" t="s">
        <v>60</v>
      </c>
      <c r="E94" t="s">
        <v>34</v>
      </c>
      <c r="F94">
        <v>167.55</v>
      </c>
      <c r="G94">
        <v>3946</v>
      </c>
      <c r="H94">
        <v>0.15</v>
      </c>
      <c r="I94">
        <v>12</v>
      </c>
      <c r="J94">
        <v>0</v>
      </c>
      <c r="K94">
        <v>1E-4</v>
      </c>
      <c r="L94" s="5">
        <f t="shared" si="9"/>
        <v>562035.6529455001</v>
      </c>
      <c r="M94" s="3" t="b">
        <f t="shared" si="10"/>
        <v>0</v>
      </c>
      <c r="N94" s="5">
        <f t="shared" si="8"/>
        <v>562035.6529455001</v>
      </c>
    </row>
    <row r="95" spans="1:14" x14ac:dyDescent="0.2">
      <c r="A95" t="s">
        <v>118</v>
      </c>
      <c r="B95" s="1">
        <v>46177</v>
      </c>
      <c r="C95" t="s">
        <v>30</v>
      </c>
      <c r="D95" t="s">
        <v>60</v>
      </c>
      <c r="E95" t="s">
        <v>34</v>
      </c>
      <c r="F95">
        <v>188.31</v>
      </c>
      <c r="G95">
        <v>2367</v>
      </c>
      <c r="H95">
        <v>0.12</v>
      </c>
      <c r="I95">
        <v>28</v>
      </c>
      <c r="J95">
        <v>0.21</v>
      </c>
      <c r="K95">
        <v>-1.1299999999999999E-2</v>
      </c>
      <c r="L95" s="5">
        <f t="shared" si="9"/>
        <v>469249.93152821518</v>
      </c>
      <c r="M95" s="3" t="b">
        <f t="shared" si="10"/>
        <v>0</v>
      </c>
      <c r="N95" s="5">
        <f t="shared" si="8"/>
        <v>469249.93152821518</v>
      </c>
    </row>
    <row r="96" spans="1:14" x14ac:dyDescent="0.2">
      <c r="A96" t="s">
        <v>119</v>
      </c>
      <c r="B96" s="1">
        <v>46318</v>
      </c>
      <c r="C96" t="s">
        <v>26</v>
      </c>
      <c r="D96" t="s">
        <v>60</v>
      </c>
      <c r="E96" t="s">
        <v>34</v>
      </c>
      <c r="F96">
        <v>173.35</v>
      </c>
      <c r="G96">
        <v>4823</v>
      </c>
      <c r="H96">
        <v>0.15</v>
      </c>
      <c r="I96">
        <v>32</v>
      </c>
      <c r="J96">
        <v>0.21</v>
      </c>
      <c r="K96">
        <v>1.6400000000000001E-2</v>
      </c>
      <c r="L96" s="5">
        <f t="shared" si="9"/>
        <v>873997.23828416993</v>
      </c>
      <c r="M96" s="3" t="b">
        <f t="shared" si="10"/>
        <v>0</v>
      </c>
      <c r="N96" s="5">
        <f t="shared" si="8"/>
        <v>873997.23828416993</v>
      </c>
    </row>
    <row r="97" spans="1:14" x14ac:dyDescent="0.2">
      <c r="A97" t="s">
        <v>120</v>
      </c>
      <c r="B97" s="1">
        <v>46120</v>
      </c>
      <c r="C97" t="s">
        <v>26</v>
      </c>
      <c r="D97" t="s">
        <v>17</v>
      </c>
      <c r="E97" t="s">
        <v>21</v>
      </c>
      <c r="F97">
        <v>326.55</v>
      </c>
      <c r="G97">
        <v>3518</v>
      </c>
      <c r="H97">
        <v>0.15</v>
      </c>
      <c r="I97">
        <v>28</v>
      </c>
      <c r="J97">
        <v>0</v>
      </c>
      <c r="K97">
        <v>0</v>
      </c>
      <c r="L97" s="5">
        <f t="shared" si="9"/>
        <v>976482.46500000008</v>
      </c>
      <c r="M97" s="3" t="b">
        <f t="shared" si="10"/>
        <v>0</v>
      </c>
      <c r="N97" s="5">
        <f t="shared" si="8"/>
        <v>976482.46500000008</v>
      </c>
    </row>
    <row r="98" spans="1:14" x14ac:dyDescent="0.2">
      <c r="A98" t="s">
        <v>121</v>
      </c>
      <c r="B98" s="1">
        <v>46236</v>
      </c>
      <c r="C98" t="s">
        <v>12</v>
      </c>
      <c r="D98" t="s">
        <v>60</v>
      </c>
      <c r="E98" t="s">
        <v>21</v>
      </c>
      <c r="F98">
        <v>334.35</v>
      </c>
      <c r="G98">
        <v>1123</v>
      </c>
      <c r="H98">
        <v>0.12</v>
      </c>
      <c r="I98">
        <v>17</v>
      </c>
      <c r="J98">
        <v>0</v>
      </c>
      <c r="K98">
        <v>0</v>
      </c>
      <c r="L98" s="5">
        <f t="shared" ref="L98:L129" si="11">F98*G98*(1-H98)*(1+J98)*(1+K98)</f>
        <v>330418.04400000005</v>
      </c>
      <c r="M98" s="3" t="b">
        <f t="shared" si="10"/>
        <v>0</v>
      </c>
      <c r="N98" s="5">
        <f t="shared" si="8"/>
        <v>330418.04400000005</v>
      </c>
    </row>
    <row r="99" spans="1:14" x14ac:dyDescent="0.2">
      <c r="A99" t="s">
        <v>122</v>
      </c>
      <c r="B99" s="1">
        <v>46345</v>
      </c>
      <c r="C99" t="s">
        <v>30</v>
      </c>
      <c r="D99" t="s">
        <v>60</v>
      </c>
      <c r="E99" t="s">
        <v>14</v>
      </c>
      <c r="F99">
        <v>378.67</v>
      </c>
      <c r="G99">
        <v>3727</v>
      </c>
      <c r="H99">
        <v>0.15</v>
      </c>
      <c r="I99">
        <v>19</v>
      </c>
      <c r="J99">
        <v>0</v>
      </c>
      <c r="K99">
        <v>-1.5599999999999999E-2</v>
      </c>
      <c r="L99" s="5">
        <f t="shared" si="11"/>
        <v>1180893.7475266</v>
      </c>
      <c r="M99" s="3" t="b">
        <f t="shared" si="10"/>
        <v>0</v>
      </c>
      <c r="N99" s="5">
        <f t="shared" si="8"/>
        <v>1180893.7475266</v>
      </c>
    </row>
    <row r="100" spans="1:14" x14ac:dyDescent="0.2">
      <c r="A100" t="s">
        <v>123</v>
      </c>
      <c r="B100" s="1">
        <v>46269</v>
      </c>
      <c r="C100" t="s">
        <v>30</v>
      </c>
      <c r="D100" t="s">
        <v>60</v>
      </c>
      <c r="E100" t="s">
        <v>18</v>
      </c>
      <c r="F100">
        <v>483.47</v>
      </c>
      <c r="G100">
        <v>1685</v>
      </c>
      <c r="H100">
        <v>0.12</v>
      </c>
      <c r="I100">
        <v>37</v>
      </c>
      <c r="J100">
        <v>0.11</v>
      </c>
      <c r="K100">
        <v>-0.02</v>
      </c>
      <c r="L100" s="5">
        <f t="shared" si="11"/>
        <v>779832.19794480014</v>
      </c>
      <c r="M100" s="3" t="b">
        <f t="shared" si="10"/>
        <v>0</v>
      </c>
      <c r="N100" s="5">
        <f t="shared" si="8"/>
        <v>779832.19794480014</v>
      </c>
    </row>
    <row r="101" spans="1:14" x14ac:dyDescent="0.2">
      <c r="A101" t="s">
        <v>124</v>
      </c>
      <c r="B101" s="1">
        <v>46036</v>
      </c>
      <c r="C101" t="s">
        <v>12</v>
      </c>
      <c r="D101" t="s">
        <v>17</v>
      </c>
      <c r="E101" t="s">
        <v>14</v>
      </c>
      <c r="F101">
        <v>230.17</v>
      </c>
      <c r="G101">
        <v>4255</v>
      </c>
      <c r="H101">
        <v>0.15</v>
      </c>
      <c r="I101">
        <v>35</v>
      </c>
      <c r="J101">
        <v>0.1</v>
      </c>
      <c r="K101">
        <v>-3.8E-3</v>
      </c>
      <c r="L101" s="5">
        <f t="shared" si="11"/>
        <v>912234.36873744999</v>
      </c>
      <c r="M101" s="3" t="b">
        <f t="shared" si="10"/>
        <v>0</v>
      </c>
      <c r="N101" s="5">
        <f t="shared" si="8"/>
        <v>912234.36873744999</v>
      </c>
    </row>
    <row r="102" spans="1:14" x14ac:dyDescent="0.2">
      <c r="A102" t="s">
        <v>125</v>
      </c>
      <c r="B102" s="1">
        <v>46032</v>
      </c>
      <c r="C102" t="s">
        <v>23</v>
      </c>
      <c r="D102" t="s">
        <v>27</v>
      </c>
      <c r="E102" t="s">
        <v>21</v>
      </c>
      <c r="F102">
        <v>193.71</v>
      </c>
      <c r="G102">
        <v>280</v>
      </c>
      <c r="H102">
        <v>0.05</v>
      </c>
      <c r="I102">
        <v>16</v>
      </c>
      <c r="J102">
        <v>0.05</v>
      </c>
      <c r="K102">
        <v>0</v>
      </c>
      <c r="L102" s="5">
        <f t="shared" si="11"/>
        <v>54103.203000000001</v>
      </c>
      <c r="M102" s="3" t="b">
        <f t="shared" si="10"/>
        <v>0</v>
      </c>
      <c r="N102" s="5">
        <f t="shared" si="8"/>
        <v>54103.203000000001</v>
      </c>
    </row>
    <row r="103" spans="1:14" x14ac:dyDescent="0.2">
      <c r="A103" t="s">
        <v>126</v>
      </c>
      <c r="B103" s="1">
        <v>46207</v>
      </c>
      <c r="C103" t="s">
        <v>30</v>
      </c>
      <c r="D103" t="s">
        <v>27</v>
      </c>
      <c r="E103" t="s">
        <v>21</v>
      </c>
      <c r="F103">
        <v>453.87</v>
      </c>
      <c r="G103">
        <v>205</v>
      </c>
      <c r="H103">
        <v>0.05</v>
      </c>
      <c r="I103">
        <v>45</v>
      </c>
      <c r="J103">
        <v>0.09</v>
      </c>
      <c r="K103">
        <v>0</v>
      </c>
      <c r="L103" s="5">
        <f t="shared" si="11"/>
        <v>96346.388925000007</v>
      </c>
      <c r="M103" s="3" t="b">
        <f t="shared" si="10"/>
        <v>0</v>
      </c>
      <c r="N103" s="5">
        <f t="shared" si="8"/>
        <v>96346.388925000007</v>
      </c>
    </row>
    <row r="104" spans="1:14" x14ac:dyDescent="0.2">
      <c r="A104" t="s">
        <v>127</v>
      </c>
      <c r="B104" s="1">
        <v>46284</v>
      </c>
      <c r="C104" t="s">
        <v>12</v>
      </c>
      <c r="D104" t="s">
        <v>17</v>
      </c>
      <c r="E104" t="s">
        <v>18</v>
      </c>
      <c r="F104">
        <v>323.08999999999997</v>
      </c>
      <c r="G104">
        <v>3794</v>
      </c>
      <c r="H104">
        <v>0.15</v>
      </c>
      <c r="I104">
        <v>8</v>
      </c>
      <c r="J104">
        <v>0</v>
      </c>
      <c r="K104">
        <v>-0.02</v>
      </c>
      <c r="L104" s="5">
        <f t="shared" si="11"/>
        <v>1021094.28218</v>
      </c>
      <c r="M104" s="3" t="b">
        <f t="shared" si="10"/>
        <v>1</v>
      </c>
      <c r="N104">
        <f>L104*(1+0.1)</f>
        <v>1123203.710398</v>
      </c>
    </row>
    <row r="105" spans="1:14" x14ac:dyDescent="0.2">
      <c r="A105" t="s">
        <v>128</v>
      </c>
      <c r="B105" s="1">
        <v>46282</v>
      </c>
      <c r="C105" t="s">
        <v>30</v>
      </c>
      <c r="D105" t="s">
        <v>13</v>
      </c>
      <c r="E105" t="s">
        <v>14</v>
      </c>
      <c r="F105">
        <v>127.88</v>
      </c>
      <c r="G105">
        <v>3462</v>
      </c>
      <c r="H105">
        <v>0.15</v>
      </c>
      <c r="I105">
        <v>11</v>
      </c>
      <c r="J105">
        <v>0</v>
      </c>
      <c r="K105">
        <v>1.01E-2</v>
      </c>
      <c r="L105" s="5">
        <f t="shared" si="11"/>
        <v>380113.23200759996</v>
      </c>
      <c r="M105" s="3" t="b">
        <f t="shared" si="10"/>
        <v>0</v>
      </c>
      <c r="N105" s="5">
        <f t="shared" ref="N105:N120" si="12">L105</f>
        <v>380113.23200759996</v>
      </c>
    </row>
    <row r="106" spans="1:14" x14ac:dyDescent="0.2">
      <c r="A106" t="s">
        <v>129</v>
      </c>
      <c r="B106" s="1">
        <v>46381</v>
      </c>
      <c r="C106" t="s">
        <v>30</v>
      </c>
      <c r="D106" t="s">
        <v>13</v>
      </c>
      <c r="E106" t="s">
        <v>18</v>
      </c>
      <c r="F106">
        <v>490.71</v>
      </c>
      <c r="G106">
        <v>2127</v>
      </c>
      <c r="H106">
        <v>0.12</v>
      </c>
      <c r="I106">
        <v>13</v>
      </c>
      <c r="J106">
        <v>0</v>
      </c>
      <c r="K106">
        <v>-0.02</v>
      </c>
      <c r="L106" s="5">
        <f t="shared" si="11"/>
        <v>900121.52260799997</v>
      </c>
      <c r="M106" s="3" t="b">
        <f t="shared" si="10"/>
        <v>0</v>
      </c>
      <c r="N106" s="5">
        <f t="shared" si="12"/>
        <v>900121.52260799997</v>
      </c>
    </row>
    <row r="107" spans="1:14" x14ac:dyDescent="0.2">
      <c r="A107" t="s">
        <v>130</v>
      </c>
      <c r="B107" s="1">
        <v>46236</v>
      </c>
      <c r="C107" t="s">
        <v>16</v>
      </c>
      <c r="D107" t="s">
        <v>24</v>
      </c>
      <c r="E107" t="s">
        <v>34</v>
      </c>
      <c r="F107">
        <v>416.89</v>
      </c>
      <c r="G107">
        <v>3856</v>
      </c>
      <c r="H107">
        <v>0.15</v>
      </c>
      <c r="I107">
        <v>11</v>
      </c>
      <c r="J107">
        <v>0</v>
      </c>
      <c r="K107">
        <v>4.8099999999999997E-2</v>
      </c>
      <c r="L107" s="5">
        <f t="shared" si="11"/>
        <v>1432122.4397383998</v>
      </c>
      <c r="M107" s="3" t="b">
        <f t="shared" si="10"/>
        <v>0</v>
      </c>
      <c r="N107" s="5">
        <f t="shared" si="12"/>
        <v>1432122.4397383998</v>
      </c>
    </row>
    <row r="108" spans="1:14" x14ac:dyDescent="0.2">
      <c r="A108" t="s">
        <v>131</v>
      </c>
      <c r="B108" s="1">
        <v>46337</v>
      </c>
      <c r="C108" t="s">
        <v>12</v>
      </c>
      <c r="D108" t="s">
        <v>24</v>
      </c>
      <c r="E108" t="s">
        <v>14</v>
      </c>
      <c r="F108">
        <v>262.54000000000002</v>
      </c>
      <c r="G108">
        <v>4498</v>
      </c>
      <c r="H108">
        <v>0.15</v>
      </c>
      <c r="I108">
        <v>29</v>
      </c>
      <c r="J108">
        <v>0.23</v>
      </c>
      <c r="K108">
        <v>-2.7799999999999998E-2</v>
      </c>
      <c r="L108" s="5">
        <f t="shared" si="11"/>
        <v>1200313.2104506921</v>
      </c>
      <c r="M108" s="3" t="b">
        <f t="shared" si="10"/>
        <v>0</v>
      </c>
      <c r="N108" s="5">
        <f t="shared" si="12"/>
        <v>1200313.2104506921</v>
      </c>
    </row>
    <row r="109" spans="1:14" x14ac:dyDescent="0.2">
      <c r="A109" t="s">
        <v>132</v>
      </c>
      <c r="B109" s="1">
        <v>46077</v>
      </c>
      <c r="C109" t="s">
        <v>30</v>
      </c>
      <c r="D109" t="s">
        <v>27</v>
      </c>
      <c r="E109" t="s">
        <v>18</v>
      </c>
      <c r="F109">
        <v>448.37</v>
      </c>
      <c r="G109">
        <v>3217</v>
      </c>
      <c r="H109">
        <v>0.15</v>
      </c>
      <c r="I109">
        <v>40</v>
      </c>
      <c r="J109">
        <v>0.2</v>
      </c>
      <c r="K109">
        <v>-0.02</v>
      </c>
      <c r="L109" s="5">
        <f t="shared" si="11"/>
        <v>1441829.3274839998</v>
      </c>
      <c r="M109" s="3" t="b">
        <f t="shared" si="10"/>
        <v>0</v>
      </c>
      <c r="N109" s="5">
        <f t="shared" si="12"/>
        <v>1441829.3274839998</v>
      </c>
    </row>
    <row r="110" spans="1:14" x14ac:dyDescent="0.2">
      <c r="A110" t="s">
        <v>133</v>
      </c>
      <c r="B110" s="1">
        <v>46246</v>
      </c>
      <c r="C110" t="s">
        <v>16</v>
      </c>
      <c r="D110" t="s">
        <v>24</v>
      </c>
      <c r="E110" t="s">
        <v>14</v>
      </c>
      <c r="F110">
        <v>60.27</v>
      </c>
      <c r="G110">
        <v>2736</v>
      </c>
      <c r="H110">
        <v>0.15</v>
      </c>
      <c r="I110">
        <v>17</v>
      </c>
      <c r="J110">
        <v>0</v>
      </c>
      <c r="K110">
        <v>-1.1599999999999999E-2</v>
      </c>
      <c r="L110" s="5">
        <f t="shared" si="11"/>
        <v>138538.01062079999</v>
      </c>
      <c r="M110" s="3" t="b">
        <f t="shared" si="10"/>
        <v>0</v>
      </c>
      <c r="N110" s="5">
        <f t="shared" si="12"/>
        <v>138538.01062079999</v>
      </c>
    </row>
    <row r="111" spans="1:14" x14ac:dyDescent="0.2">
      <c r="A111" t="s">
        <v>134</v>
      </c>
      <c r="B111" s="1">
        <v>46109</v>
      </c>
      <c r="C111" t="s">
        <v>16</v>
      </c>
      <c r="D111" t="s">
        <v>27</v>
      </c>
      <c r="E111" t="s">
        <v>14</v>
      </c>
      <c r="F111">
        <v>323.33999999999997</v>
      </c>
      <c r="G111">
        <v>519</v>
      </c>
      <c r="H111">
        <v>0.08</v>
      </c>
      <c r="I111">
        <v>17</v>
      </c>
      <c r="J111">
        <v>0.13</v>
      </c>
      <c r="K111">
        <v>8.3000000000000001E-3</v>
      </c>
      <c r="L111" s="5">
        <f t="shared" si="11"/>
        <v>175906.8816620328</v>
      </c>
      <c r="M111" s="3" t="b">
        <f t="shared" si="10"/>
        <v>0</v>
      </c>
      <c r="N111" s="5">
        <f t="shared" si="12"/>
        <v>175906.8816620328</v>
      </c>
    </row>
    <row r="112" spans="1:14" x14ac:dyDescent="0.2">
      <c r="A112" t="s">
        <v>135</v>
      </c>
      <c r="B112" s="1">
        <v>46188</v>
      </c>
      <c r="C112" t="s">
        <v>12</v>
      </c>
      <c r="D112" t="s">
        <v>17</v>
      </c>
      <c r="E112" t="s">
        <v>21</v>
      </c>
      <c r="F112">
        <v>125.64</v>
      </c>
      <c r="G112">
        <v>3050</v>
      </c>
      <c r="H112">
        <v>0.15</v>
      </c>
      <c r="I112">
        <v>35</v>
      </c>
      <c r="J112">
        <v>0.09</v>
      </c>
      <c r="K112">
        <v>0</v>
      </c>
      <c r="L112" s="5">
        <f t="shared" si="11"/>
        <v>355036.65300000005</v>
      </c>
      <c r="M112" s="3" t="b">
        <f t="shared" si="10"/>
        <v>0</v>
      </c>
      <c r="N112" s="5">
        <f t="shared" si="12"/>
        <v>355036.65300000005</v>
      </c>
    </row>
    <row r="113" spans="1:14" x14ac:dyDescent="0.2">
      <c r="A113" t="s">
        <v>136</v>
      </c>
      <c r="B113" s="1">
        <v>46165</v>
      </c>
      <c r="C113" t="s">
        <v>30</v>
      </c>
      <c r="D113" t="s">
        <v>24</v>
      </c>
      <c r="E113" t="s">
        <v>14</v>
      </c>
      <c r="F113">
        <v>132.31</v>
      </c>
      <c r="G113">
        <v>979</v>
      </c>
      <c r="H113">
        <v>0.08</v>
      </c>
      <c r="I113">
        <v>14</v>
      </c>
      <c r="J113">
        <v>0</v>
      </c>
      <c r="K113">
        <v>-1.8800000000000001E-2</v>
      </c>
      <c r="L113" s="5">
        <f t="shared" si="11"/>
        <v>116928.59414896001</v>
      </c>
      <c r="M113" s="3" t="b">
        <f t="shared" si="10"/>
        <v>0</v>
      </c>
      <c r="N113" s="5">
        <f t="shared" si="12"/>
        <v>116928.59414896001</v>
      </c>
    </row>
    <row r="114" spans="1:14" x14ac:dyDescent="0.2">
      <c r="A114" t="s">
        <v>137</v>
      </c>
      <c r="B114" s="1">
        <v>46196</v>
      </c>
      <c r="C114" t="s">
        <v>30</v>
      </c>
      <c r="D114" t="s">
        <v>17</v>
      </c>
      <c r="E114" t="s">
        <v>21</v>
      </c>
      <c r="F114">
        <v>76.510000000000005</v>
      </c>
      <c r="G114">
        <v>656</v>
      </c>
      <c r="H114">
        <v>0.08</v>
      </c>
      <c r="I114">
        <v>27</v>
      </c>
      <c r="J114">
        <v>0</v>
      </c>
      <c r="K114">
        <v>0</v>
      </c>
      <c r="L114" s="5">
        <f t="shared" si="11"/>
        <v>46175.315200000005</v>
      </c>
      <c r="M114" s="3" t="b">
        <f t="shared" si="10"/>
        <v>0</v>
      </c>
      <c r="N114" s="5">
        <f t="shared" si="12"/>
        <v>46175.315200000005</v>
      </c>
    </row>
    <row r="115" spans="1:14" x14ac:dyDescent="0.2">
      <c r="A115" t="s">
        <v>138</v>
      </c>
      <c r="B115" s="1">
        <v>46191</v>
      </c>
      <c r="C115" t="s">
        <v>26</v>
      </c>
      <c r="D115" t="s">
        <v>17</v>
      </c>
      <c r="E115" t="s">
        <v>34</v>
      </c>
      <c r="F115">
        <v>398.91</v>
      </c>
      <c r="G115">
        <v>4217</v>
      </c>
      <c r="H115">
        <v>0.15</v>
      </c>
      <c r="I115">
        <v>38</v>
      </c>
      <c r="J115">
        <v>0.34</v>
      </c>
      <c r="K115">
        <v>-2.76E-2</v>
      </c>
      <c r="L115" s="5">
        <f t="shared" si="11"/>
        <v>1863147.3311656923</v>
      </c>
      <c r="M115" s="3" t="b">
        <f t="shared" si="10"/>
        <v>0</v>
      </c>
      <c r="N115" s="5">
        <f t="shared" si="12"/>
        <v>1863147.3311656923</v>
      </c>
    </row>
    <row r="116" spans="1:14" x14ac:dyDescent="0.2">
      <c r="A116" t="s">
        <v>139</v>
      </c>
      <c r="B116" s="1">
        <v>46329</v>
      </c>
      <c r="C116" t="s">
        <v>16</v>
      </c>
      <c r="D116" t="s">
        <v>13</v>
      </c>
      <c r="E116" t="s">
        <v>21</v>
      </c>
      <c r="F116">
        <v>161.55000000000001</v>
      </c>
      <c r="G116">
        <v>3971</v>
      </c>
      <c r="H116">
        <v>0.15</v>
      </c>
      <c r="I116">
        <v>15</v>
      </c>
      <c r="J116">
        <v>0</v>
      </c>
      <c r="K116">
        <v>0</v>
      </c>
      <c r="L116" s="5">
        <f t="shared" si="11"/>
        <v>545287.79249999998</v>
      </c>
      <c r="M116" s="3" t="b">
        <f t="shared" si="10"/>
        <v>0</v>
      </c>
      <c r="N116" s="5">
        <f t="shared" si="12"/>
        <v>545287.79249999998</v>
      </c>
    </row>
    <row r="117" spans="1:14" x14ac:dyDescent="0.2">
      <c r="A117" t="s">
        <v>140</v>
      </c>
      <c r="B117" s="1">
        <v>46148</v>
      </c>
      <c r="C117" t="s">
        <v>23</v>
      </c>
      <c r="D117" t="s">
        <v>60</v>
      </c>
      <c r="E117" t="s">
        <v>34</v>
      </c>
      <c r="F117">
        <v>386.21</v>
      </c>
      <c r="G117">
        <v>1107</v>
      </c>
      <c r="H117">
        <v>0.12</v>
      </c>
      <c r="I117">
        <v>40</v>
      </c>
      <c r="J117">
        <v>0.28000000000000003</v>
      </c>
      <c r="K117">
        <v>-6.7000000000000002E-3</v>
      </c>
      <c r="L117" s="5">
        <f t="shared" si="11"/>
        <v>478348.27566704631</v>
      </c>
      <c r="M117" s="3" t="b">
        <f t="shared" si="10"/>
        <v>0</v>
      </c>
      <c r="N117" s="5">
        <f t="shared" si="12"/>
        <v>478348.27566704631</v>
      </c>
    </row>
    <row r="118" spans="1:14" x14ac:dyDescent="0.2">
      <c r="A118" t="s">
        <v>141</v>
      </c>
      <c r="B118" s="1">
        <v>46268</v>
      </c>
      <c r="C118" t="s">
        <v>26</v>
      </c>
      <c r="D118" t="s">
        <v>60</v>
      </c>
      <c r="E118" t="s">
        <v>14</v>
      </c>
      <c r="F118">
        <v>424.51</v>
      </c>
      <c r="G118">
        <v>2102</v>
      </c>
      <c r="H118">
        <v>0.12</v>
      </c>
      <c r="I118">
        <v>26</v>
      </c>
      <c r="J118">
        <v>0</v>
      </c>
      <c r="K118">
        <v>2.7400000000000001E-2</v>
      </c>
      <c r="L118" s="5">
        <f t="shared" si="11"/>
        <v>806757.23792224005</v>
      </c>
      <c r="M118" s="3" t="b">
        <f t="shared" si="10"/>
        <v>0</v>
      </c>
      <c r="N118" s="5">
        <f t="shared" si="12"/>
        <v>806757.23792224005</v>
      </c>
    </row>
    <row r="119" spans="1:14" x14ac:dyDescent="0.2">
      <c r="A119" t="s">
        <v>142</v>
      </c>
      <c r="B119" s="1">
        <v>46333</v>
      </c>
      <c r="C119" t="s">
        <v>23</v>
      </c>
      <c r="D119" t="s">
        <v>60</v>
      </c>
      <c r="E119" t="s">
        <v>14</v>
      </c>
      <c r="F119">
        <v>422.84</v>
      </c>
      <c r="G119">
        <v>4667</v>
      </c>
      <c r="H119">
        <v>0.15</v>
      </c>
      <c r="I119">
        <v>43</v>
      </c>
      <c r="J119">
        <v>0.24</v>
      </c>
      <c r="K119">
        <v>2.18E-2</v>
      </c>
      <c r="L119" s="5">
        <f t="shared" si="11"/>
        <v>2125300.6461704159</v>
      </c>
      <c r="M119" s="3" t="b">
        <f t="shared" si="10"/>
        <v>0</v>
      </c>
      <c r="N119" s="5">
        <f t="shared" si="12"/>
        <v>2125300.6461704159</v>
      </c>
    </row>
    <row r="120" spans="1:14" x14ac:dyDescent="0.2">
      <c r="A120" t="s">
        <v>143</v>
      </c>
      <c r="B120" s="1">
        <v>46358</v>
      </c>
      <c r="C120" t="s">
        <v>30</v>
      </c>
      <c r="D120" t="s">
        <v>60</v>
      </c>
      <c r="E120" t="s">
        <v>14</v>
      </c>
      <c r="F120">
        <v>324.52999999999997</v>
      </c>
      <c r="G120">
        <v>2524</v>
      </c>
      <c r="H120">
        <v>0.15</v>
      </c>
      <c r="I120">
        <v>36</v>
      </c>
      <c r="J120">
        <v>0.28999999999999998</v>
      </c>
      <c r="K120">
        <v>1.83E-2</v>
      </c>
      <c r="L120" s="5">
        <f t="shared" si="11"/>
        <v>914594.48892983398</v>
      </c>
      <c r="M120" s="3" t="b">
        <f t="shared" si="10"/>
        <v>0</v>
      </c>
      <c r="N120" s="5">
        <f t="shared" si="12"/>
        <v>914594.48892983398</v>
      </c>
    </row>
    <row r="122" spans="1:14" x14ac:dyDescent="0.2">
      <c r="N122" s="5"/>
    </row>
  </sheetData>
  <autoFilter ref="A1:N120" xr:uid="{00733D4D-7CAD-C347-A772-E821AE4BE865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F0BA-5B4E-0D41-ACC2-3FD8861811BC}">
  <dimension ref="A1:A2"/>
  <sheetViews>
    <sheetView workbookViewId="0">
      <selection activeCell="E3" sqref="E3"/>
    </sheetView>
  </sheetViews>
  <sheetFormatPr baseColWidth="10" defaultRowHeight="16" x14ac:dyDescent="0.2"/>
  <cols>
    <col min="1" max="1" width="85.83203125" customWidth="1"/>
  </cols>
  <sheetData>
    <row r="1" spans="1:1" ht="119" x14ac:dyDescent="0.2">
      <c r="A1" s="3" t="s">
        <v>144</v>
      </c>
    </row>
    <row r="2" spans="1:1" ht="22" x14ac:dyDescent="0.25">
      <c r="A2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complex_procurement_challenge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Ansar Muhammad</cp:lastModifiedBy>
  <dcterms:created xsi:type="dcterms:W3CDTF">2026-02-14T06:55:10Z</dcterms:created>
  <dcterms:modified xsi:type="dcterms:W3CDTF">2026-03-11T10:25:58Z</dcterms:modified>
</cp:coreProperties>
</file>